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ACE376A-9225-4751-B106-5326BF9CF902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Anexo B" sheetId="1" r:id="rId1"/>
    <sheet name="Resume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8" i="2" l="1"/>
  <c r="C27" i="2"/>
  <c r="C26" i="2"/>
  <c r="C22" i="2"/>
  <c r="C21" i="2"/>
  <c r="C20" i="2"/>
  <c r="C19" i="2"/>
  <c r="C15" i="2"/>
  <c r="C14" i="2"/>
  <c r="C10" i="2"/>
  <c r="C9" i="2"/>
  <c r="C8" i="2"/>
  <c r="C7" i="2"/>
</calcChain>
</file>

<file path=xl/sharedStrings.xml><?xml version="1.0" encoding="utf-8"?>
<sst xmlns="http://schemas.openxmlformats.org/spreadsheetml/2006/main" count="296" uniqueCount="184">
  <si>
    <t>ANEXO B — REGISTRO CONSOLIDADO DE DEFECTOS</t>
  </si>
  <si>
    <t>Inspección Fagan del ERS/SRS de MundiPets v3.0 · PE4 Unidad IV · ISR-401 UTEQ</t>
  </si>
  <si>
    <t>27 defectos únicos consolidados a partir de 33 hallazgos reportados (6 duplicados descartados). Alcance: 52 páginas efectivas.</t>
  </si>
  <si>
    <t>N.º</t>
  </si>
  <si>
    <t>Sección / requisito</t>
  </si>
  <si>
    <t>Descripción del defecto</t>
  </si>
  <si>
    <t>Tipo</t>
  </si>
  <si>
    <t>Severidad</t>
  </si>
  <si>
    <t>Requisito afectado</t>
  </si>
  <si>
    <t>Detectado por</t>
  </si>
  <si>
    <t>Corrección aplicada</t>
  </si>
  <si>
    <t>Vía</t>
  </si>
  <si>
    <t>D-01</t>
  </si>
  <si>
    <t>§5.5, Tabla 96, Apéndice D</t>
  </si>
  <si>
    <t>§5.5 afirma que la matriz tiene “40 filas (TR-01 a TR-40)”; dos párrafos después habla de “las 50 filas”, el título de la Tabla 96 dice “las 50 filas” y el Apéndice D declara TR-01 a TR-50. Tres cifras distintas para el mismo artefacto.</t>
  </si>
  <si>
    <t>Consistencia</t>
  </si>
  <si>
    <t>Mayor</t>
  </si>
  <si>
    <t>Matriz completa</t>
  </si>
  <si>
    <t>Gutiérrez</t>
  </si>
  <si>
    <t>Cifra única de 50 filas (TR-01 a TR-50) replicada en §5.5, en el título de la Tabla 96 y en el Apéndice D.</t>
  </si>
  <si>
    <t>Retrabajo</t>
  </si>
  <si>
    <t>D-02</t>
  </si>
  <si>
    <t>§1.5</t>
  </si>
  <si>
    <t>Anuncia “los 15 requisitos no funcionales”; §3.3, §5.1 y §8 declaran 16 (RNF-01 a RNF-16).</t>
  </si>
  <si>
    <t>Menor</t>
  </si>
  <si>
    <t>RNF-16</t>
  </si>
  <si>
    <t>Corregido a 16 en §1.5.</t>
  </si>
  <si>
    <t>D-03</t>
  </si>
  <si>
    <t>Apéndice H</t>
  </si>
  <si>
    <t>El ítem 14 del checklist de autocontrol declara cumplidos “25 RF, 15 RNF, 40 filas de trazabilidad”, cifras que ya no coinciden con el cuerpo del documento.</t>
  </si>
  <si>
    <t>Actualizado a 27 RF, 16 RNF y 50 filas, con fecha de última verificación del checklist.</t>
  </si>
  <si>
    <t>D-04</t>
  </si>
  <si>
    <t>Carátula vs. nombre de archivo</t>
  </si>
  <si>
    <t>La carátula declara “Versión del documento: 3.0” mientras el archivo entregado se llama ERS_SRS_2A_v1.0.</t>
  </si>
  <si>
    <t>Documento completo</t>
  </si>
  <si>
    <t>Versión 3.1 unificada en portada, historial, CHANGELOG.md y tag baseline-v3.1; archivo renombrado.</t>
  </si>
  <si>
    <t>D-05</t>
  </si>
  <si>
    <t>§3.6 y varias secciones</t>
  </si>
  <si>
    <t>Referencias internas rotas del tipo “(Apéndice .0m)”, “Sección .0c”, “Apéndice B.1”: el identificador citado no resuelve a ningún destino localizable.</t>
  </si>
  <si>
    <t>Trazabilidad</t>
  </si>
  <si>
    <t>Referencias cruzadas</t>
  </si>
  <si>
    <t>DIFERIDO: exige numerar las subsecciones de los apéndices y regenerar todas las referencias internas; riesgo de introducir defectos nuevos a pocos días de la entrega. Se difiere a la v3.2.</t>
  </si>
  <si>
    <t>Diferido</t>
  </si>
  <si>
    <t>D-06</t>
  </si>
  <si>
    <t>Tabla 36</t>
  </si>
  <si>
    <t>Erratas de identificador en la tabla de cobertura ISO 25010: “RNF14” y “RNF16” sin guion, rompiendo el patrón de ID usado en todo el documento.</t>
  </si>
  <si>
    <t>RNF-14, RNF-16</t>
  </si>
  <si>
    <t>Normalizados a RNF-14 y RNF-16.</t>
  </si>
  <si>
    <t>D-07</t>
  </si>
  <si>
    <t>RF-25, RNF-16, RL-05</t>
  </si>
  <si>
    <t>RF-25 exige publicar el aviso de mascota extraviada “visible públicamente” incluyendo datos de contacto y microchip, mientras que RNF-16 exige que contacto y ubicación estén ocultos por defecto en el 100 % de los perfiles. Incompatibles.</t>
  </si>
  <si>
    <t>Crítico</t>
  </si>
  <si>
    <t>Se crea RF-26 (contacto mediado por la plataforma) y RNF-16 declara una excepción acotada para avisos de extravío activos.</t>
  </si>
  <si>
    <t>RFC-01</t>
  </si>
  <si>
    <t>D-08</t>
  </si>
  <si>
    <t>RF-23, RF-16</t>
  </si>
  <si>
    <t>La precondición de RF-23 exige antecedentes genéticos registrados (RF-16), dato que el requisito no consume. La precondición bloquea el requisito sin necesidad funcional.</t>
  </si>
  <si>
    <t>Precondición reformulada: solo aplica cuando la alerta evaluada es de riesgo reproductivo; para riesgo sanitario basta el historial médico.</t>
  </si>
  <si>
    <t>D-09</t>
  </si>
  <si>
    <t>RF-08, RF-19</t>
  </si>
  <si>
    <t>RF-19 (Should) actúa como puerta de RF-08 (Must); si RF-19 no se implementa, no está definido si la cruza queda abierta o bloqueada.</t>
  </si>
  <si>
    <t>RF-19 repriorizado a Must y RF-08 declara el comportamiento por defecto: sin certificado validado, la solicitud queda bloqueada.</t>
  </si>
  <si>
    <t>D-10</t>
  </si>
  <si>
    <t>RF-07, RNF-15</t>
  </si>
  <si>
    <t>RNF-15 (Should) califica a RF-07 (Could): un atributo de calidad con prioridad mayor que la función que califica.</t>
  </si>
  <si>
    <t>RNF-15 repriorizado a Could. Se documenta la regla: ningún RNF puede tener prioridad superior al RF al que califica.</t>
  </si>
  <si>
    <t>D-11</t>
  </si>
  <si>
    <t>RD-02, Tabla 5</t>
  </si>
  <si>
    <t>RD-02 define 3 roles; la Tabla 5 define 5 clases de usuario sin incluir “administrador”. Actor huérfano y tres clases fuera del modelo de roles.</t>
  </si>
  <si>
    <t>Consistencia / Completitud</t>
  </si>
  <si>
    <t>Tabla 5 ampliada a 6 clases incorporando “administrador” con sus responsabilidades; RD-02 reescrito para cubrir las 6 clases.</t>
  </si>
  <si>
    <t>D-12</t>
  </si>
  <si>
    <t>RF-05, RL-05</t>
  </si>
  <si>
    <t>RF-05 exige la fotografía de perfil del solicitante sin justificar la necesidad frente al principio de minimización que el propio documento invoca en RL-05 y RNF-16.</t>
  </si>
  <si>
    <t>DIFERIDO: afecta a una regla de negocio que el refugio consideró necesaria en la elicitación. Requiere consulta al stakeholder antes de decidir.</t>
  </si>
  <si>
    <t>D-13</t>
  </si>
  <si>
    <t>RF-10, RD-08</t>
  </si>
  <si>
    <t>RF-10 nombra WhatsApp dentro de la descripción del requisito funcional, fijando la solución tecnológica.</t>
  </si>
  <si>
    <t>Ambigüedad (sobre-especificación)</t>
  </si>
  <si>
    <t>RF-10</t>
  </si>
  <si>
    <t>Sustituido por “canal externo de mensajería”, con la tecnología especificada en RD-08.</t>
  </si>
  <si>
    <t>D-14</t>
  </si>
  <si>
    <t>“Radio ≥ 1 km”: umbral abierto por arriba; un radio de 100 km lo satisface literalmente y vuelve el requisito inútil.</t>
  </si>
  <si>
    <t>Verificabilidad</t>
  </si>
  <si>
    <t>Nieves</t>
  </si>
  <si>
    <t>Acotado al rango 1–3 km, con criterio de verificación: 30 consultas de perfil, 100 % dentro del rango.</t>
  </si>
  <si>
    <t>D-15</t>
  </si>
  <si>
    <t>RF-17, RNF-07</t>
  </si>
  <si>
    <t>Rechaza imágenes “inapropiadas o que no cumplan los criterios establecidos”, sin definirlos; el criterio de verificación es circular.</t>
  </si>
  <si>
    <t>Ambigüedad / Verificabilidad</t>
  </si>
  <si>
    <t>Se enumeran los 5 criterios de rechazo (contenido no animal, violencia explícita, resolución &lt; 480 px, marca de agua de terceros, rostro humano identificable) y se reformula la verificación.</t>
  </si>
  <si>
    <t>D-16</t>
  </si>
  <si>
    <t>RF-12, RF-18, RF-20</t>
  </si>
  <si>
    <t>“Validación de la información requerida”: no se especifica qué dato ni contra qué fuente; la Tabla 3 excluye la verificación de identidad sin que RF-12 declare qué nivel ofrece.</t>
  </si>
  <si>
    <t>Ambigüedad</t>
  </si>
  <si>
    <t>Se declara la validación de correo mediante código de un solo uso y de teléfono mediante SMS, y se explicita que no constituye verificación de identidad.</t>
  </si>
  <si>
    <t>D-17</t>
  </si>
  <si>
    <t>RF-03, RF-11</t>
  </si>
  <si>
    <t>“Historial médico autorizado”: el adjetivo remite implícitamente a RF-11 sin enunciar la regla.</t>
  </si>
  <si>
    <t>Se referencia explícitamente la configuración de privacidad de RF-11.</t>
  </si>
  <si>
    <t>D-18</t>
  </si>
  <si>
    <t>RF-06, RNF-06, RNF-13</t>
  </si>
  <si>
    <t>La descripción afirma que “evaluará la compatibilidad” pero la salida declarada es solo “información comparativa”; RNF-06 y RNF-13 presuponen un veredicto.</t>
  </si>
  <si>
    <t>Consistencia / Ambigüedad</t>
  </si>
  <si>
    <t>RF-06 declara como salida un veredicto en 3 niveles (compatible / compatible con reservas / no recomendado) más la explicación exigida por RNF-13.</t>
  </si>
  <si>
    <t>RFC-02</t>
  </si>
  <si>
    <t>D-19</t>
  </si>
  <si>
    <t>RNF-01, RNF-05</t>
  </si>
  <si>
    <t>“0 % de accesos no autorizados durante las pruebas”, sin definir el conjunto de pruebas, su cobertura ni quién las ejecuta.</t>
  </si>
  <si>
    <t>Se define la suite: 12 casos de prueba de control de acceso (2 por clase de usuario), ejecutados por el rol verificador, con criterio de 0 accesos indebidos sobre los 12.</t>
  </si>
  <si>
    <t>D-20</t>
  </si>
  <si>
    <t>RNF-06</t>
  </si>
  <si>
    <t>Umbral del 85 % frente al criterio veterinario sin definir número de casos, de veterinarios ni resolución de desacuerdos.</t>
  </si>
  <si>
    <t>40 pares de mascotas evaluados por 3 veterinarios de forma independiente; referencia por mayoría simple; los casos sin mayoría se excluyen y se reportan.</t>
  </si>
  <si>
    <t>D-21</t>
  </si>
  <si>
    <t>RL-02, RL-03 (§3.4)</t>
  </si>
  <si>
    <t>El plazo legal de 15 días para acceso y rectificación no aparece en ningún RF ni criterio de verificación: obligación declarada y no implementada.</t>
  </si>
  <si>
    <t>Trazabilidad / Completitud</t>
  </si>
  <si>
    <t>RL-02, RL-03</t>
  </si>
  <si>
    <t>RF-02, RF-03, RF-11 y RF-14 incorporan el plazo máximo de 15 días con su criterio de verificación temporal medido desde el registro de la solicitud.</t>
  </si>
  <si>
    <t>RFC-03</t>
  </si>
  <si>
    <t>D-22</t>
  </si>
  <si>
    <t>RL-01, RF-01 (§3.4)</t>
  </si>
  <si>
    <t>RF-01 no menciona el consentimiento y ningún requisito cubre su revocación, declarada obligatoria por RL-01.</t>
  </si>
  <si>
    <t>Completitud</t>
  </si>
  <si>
    <t>RL-01, RF-01</t>
  </si>
  <si>
    <t>RF-01 registra el consentimiento con marca temporal y versión de los términos; se crea RF-27 (revocación con cascada reversible de 30 días).</t>
  </si>
  <si>
    <t>D-23</t>
  </si>
  <si>
    <t>RL-01 a RL-09 (§3.4)</t>
  </si>
  <si>
    <t>Los nueve requisitos legales se especifican solo como filas de tabla, sin criterio de verificación, pese a estar priorizados como Must.</t>
  </si>
  <si>
    <t>RL-01 a RL-09</t>
  </si>
  <si>
    <t>Los 9 RL adoptan la plantilla de ocho atributos usada por RF y RNF, incluyendo criterio de verificación y evidencia asociada.</t>
  </si>
  <si>
    <t>D-24</t>
  </si>
  <si>
    <t>RNF-02</t>
  </si>
  <si>
    <t>Criterio de verificación “monitorear la disponibilidad durante un mes de operación”: inviable en el cronograma del PFC.</t>
  </si>
  <si>
    <t>Factibilidad / Verificabilidad</t>
  </si>
  <si>
    <t>Sustituido por 15 días de monitoreo continuo en staging con sonda cada 5 min, declarando la extrapolación como limitación explícita.</t>
  </si>
  <si>
    <t>D-25</t>
  </si>
  <si>
    <t>RNF-04</t>
  </si>
  <si>
    <t>Exige simultáneamente ≥ 90 % de finalización sin ayuda y SUS ≥ 80, sin declarar qué ocurre si se cumple uno solo.</t>
  </si>
  <si>
    <t>Factibilidad</t>
  </si>
  <si>
    <t>DIFERIDO: el umbral es agresivo pero no incorrecto. Se mantiene como objetivo y se reevalúa tras la primera prueba de usabilidad con datos reales.</t>
  </si>
  <si>
    <t>D-26</t>
  </si>
  <si>
    <t>§6.1 (MVP)</t>
  </si>
  <si>
    <t>La exclusión de RNF que el MVP no evidencia es parcial: faltan RNF-01, RNF-02, RNF-03, RNF-12 y RNF-16.</t>
  </si>
  <si>
    <t>§6.1</t>
  </si>
  <si>
    <t>DIFERIDO: mejora de completitud sobre una sección que ya declara correctamente su limitación principal. Sin impacto sobre ningún requisito.</t>
  </si>
  <si>
    <t>D-27</t>
  </si>
  <si>
    <t>§5.2 (MoSCoW)</t>
  </si>
  <si>
    <t>“No se identificaron requisitos Won't Have” en un backlog de 59 elementos, lo que debilita el valor discriminante de la priorización.</t>
  </si>
  <si>
    <t>§5.2</t>
  </si>
  <si>
    <t>DIFERIDO al CCB de la Unidad V: la reclasificación a Won't have es una decisión de priorización que no corresponde al retrabajo del autor.</t>
  </si>
  <si>
    <t>LEYENDA</t>
  </si>
  <si>
    <t>• Severidad — Crítico: dos requisitos no pueden satisfacerse a la vez, o una obligación declarada no la implementa ningún requisito.</t>
  </si>
  <si>
    <t>• Severidad — Mayor: impide verificar el requisito o introduce una incoherencia que se propaga a otros artefactos.</t>
  </si>
  <si>
    <t>• Severidad — Menor: afecta a la calidad documental sin comprometer la construcción del sistema.</t>
  </si>
  <si>
    <t>• Vía — Retrabajo: corregido directamente por el autor.  ·  RFC-0X: elevado al CCB por modificar alcance o incorporar requisitos nuevos.  ·  Diferido: justificado por escrito en la §5 del informe.</t>
  </si>
  <si>
    <t>• Detectado por — inspectora a la que se acredita el hallazgo tras descartar los 6 duplicados de frontera (ver Compilación final del Anexo A).</t>
  </si>
  <si>
    <t>RESUMEN DEL REGISTRO</t>
  </si>
  <si>
    <t>Todos los valores se calculan desde la hoja 'Anexo B'.</t>
  </si>
  <si>
    <t>Por severidad</t>
  </si>
  <si>
    <t>Defectos</t>
  </si>
  <si>
    <t>TOTAL</t>
  </si>
  <si>
    <t>Por inspectora (acreditados)</t>
  </si>
  <si>
    <t>Inspectora</t>
  </si>
  <si>
    <t>Gutiérrez Génesis</t>
  </si>
  <si>
    <t>Nieves Jimmy</t>
  </si>
  <si>
    <t>Por vía de resolución</t>
  </si>
  <si>
    <t>Retrabajo del autor</t>
  </si>
  <si>
    <t>Elevado al CCB (RFC)</t>
  </si>
  <si>
    <t>Diferido con justificación</t>
  </si>
  <si>
    <t>Corregidos (retrabajo + RFC)</t>
  </si>
  <si>
    <t>Cumplimiento de los mínimos de la rúbrica</t>
  </si>
  <si>
    <t>Indicador</t>
  </si>
  <si>
    <t>Valor</t>
  </si>
  <si>
    <t>Mínimo</t>
  </si>
  <si>
    <t>Estado</t>
  </si>
  <si>
    <t>Defectos únicos consolidados</t>
  </si>
  <si>
    <t>≥ 15</t>
  </si>
  <si>
    <t>OK</t>
  </si>
  <si>
    <t>De ellos críticos o mayores</t>
  </si>
  <si>
    <t>≥ 3</t>
  </si>
  <si>
    <t>Críticos y mayores resueltos</t>
  </si>
  <si>
    <t>100 %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</si>
</sst>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b/>
      <sz val="15"/>
      <name val="Times New Roman"/>
      <family val="1"/>
    </font>
    <font>
      <sz val="11"/>
      <name val="Times New Roman"/>
      <family val="1"/>
    </font>
    <font>
      <i/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6E3C"/>
        <bgColor rgb="FF008080"/>
      </patternFill>
    </fill>
    <fill>
      <patternFill patternType="solid">
        <fgColor rgb="FFFDF0DC"/>
        <bgColor rgb="FFFBE4E4"/>
      </patternFill>
    </fill>
    <fill>
      <patternFill patternType="solid">
        <fgColor rgb="FFE7EDF6"/>
        <bgColor rgb="FFFBE4E4"/>
      </patternFill>
    </fill>
    <fill>
      <patternFill patternType="solid">
        <fgColor rgb="FFFBE4E4"/>
        <bgColor rgb="FFFDF0D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8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E3C"/>
      <rgbColor rgb="FF000080"/>
      <rgbColor rgb="FF7A5C00"/>
      <rgbColor rgb="FF800080"/>
      <rgbColor rgb="FF008080"/>
      <rgbColor rgb="FFBFBFBF"/>
      <rgbColor rgb="FF808080"/>
      <rgbColor rgb="FF9999FF"/>
      <rgbColor rgb="FF993366"/>
      <rgbColor rgb="FFFDF0DC"/>
      <rgbColor rgb="FFE7ED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C87A10"/>
      <rgbColor rgb="FF45608C"/>
      <rgbColor rgb="FF969696"/>
      <rgbColor rgb="FF003366"/>
      <rgbColor rgb="FF339966"/>
      <rgbColor rgb="FF003300"/>
      <rgbColor rgb="FF333300"/>
      <rgbColor rgb="FFB02A2A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"/>
  <sheetViews>
    <sheetView zoomScale="85" zoomScaleNormal="85" workbookViewId="0">
      <pane ySplit="5" topLeftCell="A6" activePane="bottomLeft" state="frozen"/>
      <selection pane="bottomLeft" activeCell="C7" sqref="C7"/>
    </sheetView>
  </sheetViews>
  <sheetFormatPr baseColWidth="10" defaultColWidth="8.7109375" defaultRowHeight="15" x14ac:dyDescent="0.25"/>
  <cols>
    <col min="1" max="1" width="7" customWidth="1"/>
    <col min="2" max="2" width="24" customWidth="1"/>
    <col min="3" max="3" width="72" customWidth="1"/>
    <col min="4" max="4" width="26" customWidth="1"/>
    <col min="5" max="5" width="11" customWidth="1"/>
    <col min="6" max="6" width="22" customWidth="1"/>
    <col min="7" max="7" width="13" customWidth="1"/>
    <col min="8" max="8" width="72" customWidth="1"/>
    <col min="9" max="9" width="12" customWidth="1"/>
  </cols>
  <sheetData>
    <row r="1" spans="1:23" ht="19.5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x14ac:dyDescent="0.25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x14ac:dyDescent="0.25">
      <c r="A3" s="1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ht="31.5" customHeight="1" x14ac:dyDescent="0.2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57.75" customHeight="1" x14ac:dyDescent="0.25">
      <c r="A6" s="2" t="s">
        <v>12</v>
      </c>
      <c r="B6" s="3" t="s">
        <v>13</v>
      </c>
      <c r="C6" s="3" t="s">
        <v>14</v>
      </c>
      <c r="D6" s="3" t="s">
        <v>15</v>
      </c>
      <c r="E6" s="2" t="s">
        <v>16</v>
      </c>
      <c r="F6" s="3" t="s">
        <v>17</v>
      </c>
      <c r="G6" s="4" t="s">
        <v>18</v>
      </c>
      <c r="H6" s="3" t="s">
        <v>19</v>
      </c>
      <c r="I6" s="4" t="s">
        <v>20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57.75" customHeight="1" x14ac:dyDescent="0.25">
      <c r="A7" s="5" t="s">
        <v>21</v>
      </c>
      <c r="B7" s="6" t="s">
        <v>22</v>
      </c>
      <c r="C7" s="6" t="s">
        <v>23</v>
      </c>
      <c r="D7" s="6" t="s">
        <v>15</v>
      </c>
      <c r="E7" s="5" t="s">
        <v>24</v>
      </c>
      <c r="F7" s="6" t="s">
        <v>25</v>
      </c>
      <c r="G7" s="7" t="s">
        <v>18</v>
      </c>
      <c r="H7" s="6" t="s">
        <v>26</v>
      </c>
      <c r="I7" s="7" t="s">
        <v>20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spans="1:23" ht="57.75" customHeight="1" x14ac:dyDescent="0.25">
      <c r="A8" s="2" t="s">
        <v>27</v>
      </c>
      <c r="B8" s="3" t="s">
        <v>28</v>
      </c>
      <c r="C8" s="3" t="s">
        <v>29</v>
      </c>
      <c r="D8" s="3" t="s">
        <v>15</v>
      </c>
      <c r="E8" s="2" t="s">
        <v>16</v>
      </c>
      <c r="F8" s="3" t="s">
        <v>28</v>
      </c>
      <c r="G8" s="4" t="s">
        <v>18</v>
      </c>
      <c r="H8" s="3" t="s">
        <v>30</v>
      </c>
      <c r="I8" s="4" t="s">
        <v>20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1:23" ht="57.75" customHeight="1" x14ac:dyDescent="0.25">
      <c r="A9" s="2" t="s">
        <v>31</v>
      </c>
      <c r="B9" s="3" t="s">
        <v>32</v>
      </c>
      <c r="C9" s="3" t="s">
        <v>33</v>
      </c>
      <c r="D9" s="3" t="s">
        <v>15</v>
      </c>
      <c r="E9" s="2" t="s">
        <v>16</v>
      </c>
      <c r="F9" s="3" t="s">
        <v>34</v>
      </c>
      <c r="G9" s="4" t="s">
        <v>18</v>
      </c>
      <c r="H9" s="3" t="s">
        <v>35</v>
      </c>
      <c r="I9" s="4" t="s">
        <v>20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1:23" ht="57.75" customHeight="1" x14ac:dyDescent="0.25">
      <c r="A10" s="5" t="s">
        <v>36</v>
      </c>
      <c r="B10" s="6" t="s">
        <v>37</v>
      </c>
      <c r="C10" s="6" t="s">
        <v>38</v>
      </c>
      <c r="D10" s="6" t="s">
        <v>39</v>
      </c>
      <c r="E10" s="5" t="s">
        <v>24</v>
      </c>
      <c r="F10" s="6" t="s">
        <v>40</v>
      </c>
      <c r="G10" s="7" t="s">
        <v>18</v>
      </c>
      <c r="H10" s="6" t="s">
        <v>41</v>
      </c>
      <c r="I10" s="5" t="s">
        <v>42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57.75" customHeight="1" x14ac:dyDescent="0.25">
      <c r="A11" s="5" t="s">
        <v>43</v>
      </c>
      <c r="B11" s="6" t="s">
        <v>44</v>
      </c>
      <c r="C11" s="6" t="s">
        <v>45</v>
      </c>
      <c r="D11" s="6" t="s">
        <v>15</v>
      </c>
      <c r="E11" s="5" t="s">
        <v>24</v>
      </c>
      <c r="F11" s="6" t="s">
        <v>46</v>
      </c>
      <c r="G11" s="7" t="s">
        <v>18</v>
      </c>
      <c r="H11" s="6" t="s">
        <v>47</v>
      </c>
      <c r="I11" s="7" t="s">
        <v>20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57.75" customHeight="1" x14ac:dyDescent="0.25">
      <c r="A12" s="8" t="s">
        <v>48</v>
      </c>
      <c r="B12" s="9" t="s">
        <v>49</v>
      </c>
      <c r="C12" s="9" t="s">
        <v>50</v>
      </c>
      <c r="D12" s="9" t="s">
        <v>15</v>
      </c>
      <c r="E12" s="8" t="s">
        <v>51</v>
      </c>
      <c r="F12" s="9" t="s">
        <v>49</v>
      </c>
      <c r="G12" s="10" t="s">
        <v>18</v>
      </c>
      <c r="H12" s="9" t="s">
        <v>52</v>
      </c>
      <c r="I12" s="8" t="s">
        <v>53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57.75" customHeight="1" x14ac:dyDescent="0.25">
      <c r="A13" s="2" t="s">
        <v>54</v>
      </c>
      <c r="B13" s="3" t="s">
        <v>55</v>
      </c>
      <c r="C13" s="3" t="s">
        <v>56</v>
      </c>
      <c r="D13" s="3" t="s">
        <v>15</v>
      </c>
      <c r="E13" s="2" t="s">
        <v>16</v>
      </c>
      <c r="F13" s="3" t="s">
        <v>55</v>
      </c>
      <c r="G13" s="4" t="s">
        <v>18</v>
      </c>
      <c r="H13" s="3" t="s">
        <v>57</v>
      </c>
      <c r="I13" s="4" t="s">
        <v>20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ht="57.75" customHeight="1" x14ac:dyDescent="0.25">
      <c r="A14" s="2" t="s">
        <v>58</v>
      </c>
      <c r="B14" s="3" t="s">
        <v>59</v>
      </c>
      <c r="C14" s="3" t="s">
        <v>60</v>
      </c>
      <c r="D14" s="3" t="s">
        <v>15</v>
      </c>
      <c r="E14" s="2" t="s">
        <v>16</v>
      </c>
      <c r="F14" s="3" t="s">
        <v>59</v>
      </c>
      <c r="G14" s="4" t="s">
        <v>18</v>
      </c>
      <c r="H14" s="3" t="s">
        <v>61</v>
      </c>
      <c r="I14" s="4" t="s">
        <v>20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3" ht="57.75" customHeight="1" x14ac:dyDescent="0.25">
      <c r="A15" s="2" t="s">
        <v>62</v>
      </c>
      <c r="B15" s="3" t="s">
        <v>63</v>
      </c>
      <c r="C15" s="3" t="s">
        <v>64</v>
      </c>
      <c r="D15" s="3" t="s">
        <v>15</v>
      </c>
      <c r="E15" s="2" t="s">
        <v>16</v>
      </c>
      <c r="F15" s="3" t="s">
        <v>63</v>
      </c>
      <c r="G15" s="4" t="s">
        <v>18</v>
      </c>
      <c r="H15" s="3" t="s">
        <v>65</v>
      </c>
      <c r="I15" s="4" t="s">
        <v>20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57.75" customHeight="1" x14ac:dyDescent="0.25">
      <c r="A16" s="8" t="s">
        <v>66</v>
      </c>
      <c r="B16" s="9" t="s">
        <v>67</v>
      </c>
      <c r="C16" s="9" t="s">
        <v>68</v>
      </c>
      <c r="D16" s="9" t="s">
        <v>69</v>
      </c>
      <c r="E16" s="8" t="s">
        <v>51</v>
      </c>
      <c r="F16" s="9" t="s">
        <v>67</v>
      </c>
      <c r="G16" s="10" t="s">
        <v>18</v>
      </c>
      <c r="H16" s="9" t="s">
        <v>70</v>
      </c>
      <c r="I16" s="10" t="s">
        <v>20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23" ht="57.75" customHeight="1" x14ac:dyDescent="0.25">
      <c r="A17" s="5" t="s">
        <v>71</v>
      </c>
      <c r="B17" s="6" t="s">
        <v>72</v>
      </c>
      <c r="C17" s="6" t="s">
        <v>73</v>
      </c>
      <c r="D17" s="6" t="s">
        <v>15</v>
      </c>
      <c r="E17" s="5" t="s">
        <v>24</v>
      </c>
      <c r="F17" s="6" t="s">
        <v>72</v>
      </c>
      <c r="G17" s="7" t="s">
        <v>18</v>
      </c>
      <c r="H17" s="6" t="s">
        <v>74</v>
      </c>
      <c r="I17" s="5" t="s">
        <v>42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1:23" ht="57.75" customHeight="1" x14ac:dyDescent="0.25">
      <c r="A18" s="5" t="s">
        <v>75</v>
      </c>
      <c r="B18" s="6" t="s">
        <v>76</v>
      </c>
      <c r="C18" s="6" t="s">
        <v>77</v>
      </c>
      <c r="D18" s="6" t="s">
        <v>78</v>
      </c>
      <c r="E18" s="5" t="s">
        <v>24</v>
      </c>
      <c r="F18" s="6" t="s">
        <v>79</v>
      </c>
      <c r="G18" s="7" t="s">
        <v>18</v>
      </c>
      <c r="H18" s="6" t="s">
        <v>80</v>
      </c>
      <c r="I18" s="7" t="s">
        <v>20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1:23" ht="57.75" customHeight="1" x14ac:dyDescent="0.25">
      <c r="A19" s="2" t="s">
        <v>81</v>
      </c>
      <c r="B19" s="3" t="s">
        <v>25</v>
      </c>
      <c r="C19" s="3" t="s">
        <v>82</v>
      </c>
      <c r="D19" s="3" t="s">
        <v>83</v>
      </c>
      <c r="E19" s="2" t="s">
        <v>16</v>
      </c>
      <c r="F19" s="3" t="s">
        <v>25</v>
      </c>
      <c r="G19" s="4" t="s">
        <v>84</v>
      </c>
      <c r="H19" s="3" t="s">
        <v>85</v>
      </c>
      <c r="I19" s="4" t="s">
        <v>20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1:23" ht="57.75" customHeight="1" x14ac:dyDescent="0.25">
      <c r="A20" s="2" t="s">
        <v>86</v>
      </c>
      <c r="B20" s="3" t="s">
        <v>87</v>
      </c>
      <c r="C20" s="3" t="s">
        <v>88</v>
      </c>
      <c r="D20" s="3" t="s">
        <v>89</v>
      </c>
      <c r="E20" s="2" t="s">
        <v>16</v>
      </c>
      <c r="F20" s="3" t="s">
        <v>87</v>
      </c>
      <c r="G20" s="4" t="s">
        <v>84</v>
      </c>
      <c r="H20" s="3" t="s">
        <v>90</v>
      </c>
      <c r="I20" s="4" t="s">
        <v>20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ht="57.75" customHeight="1" x14ac:dyDescent="0.25">
      <c r="A21" s="2" t="s">
        <v>91</v>
      </c>
      <c r="B21" s="3" t="s">
        <v>92</v>
      </c>
      <c r="C21" s="3" t="s">
        <v>93</v>
      </c>
      <c r="D21" s="3" t="s">
        <v>94</v>
      </c>
      <c r="E21" s="2" t="s">
        <v>16</v>
      </c>
      <c r="F21" s="3" t="s">
        <v>92</v>
      </c>
      <c r="G21" s="4" t="s">
        <v>84</v>
      </c>
      <c r="H21" s="3" t="s">
        <v>95</v>
      </c>
      <c r="I21" s="4" t="s">
        <v>20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ht="57.75" customHeight="1" x14ac:dyDescent="0.25">
      <c r="A22" s="5" t="s">
        <v>96</v>
      </c>
      <c r="B22" s="6" t="s">
        <v>97</v>
      </c>
      <c r="C22" s="6" t="s">
        <v>98</v>
      </c>
      <c r="D22" s="6" t="s">
        <v>94</v>
      </c>
      <c r="E22" s="5" t="s">
        <v>24</v>
      </c>
      <c r="F22" s="6" t="s">
        <v>97</v>
      </c>
      <c r="G22" s="7" t="s">
        <v>84</v>
      </c>
      <c r="H22" s="6" t="s">
        <v>99</v>
      </c>
      <c r="I22" s="7" t="s">
        <v>20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spans="1:23" ht="57.75" customHeight="1" x14ac:dyDescent="0.25">
      <c r="A23" s="8" t="s">
        <v>100</v>
      </c>
      <c r="B23" s="9" t="s">
        <v>101</v>
      </c>
      <c r="C23" s="9" t="s">
        <v>102</v>
      </c>
      <c r="D23" s="9" t="s">
        <v>103</v>
      </c>
      <c r="E23" s="8" t="s">
        <v>51</v>
      </c>
      <c r="F23" s="9" t="s">
        <v>101</v>
      </c>
      <c r="G23" s="10" t="s">
        <v>84</v>
      </c>
      <c r="H23" s="9" t="s">
        <v>104</v>
      </c>
      <c r="I23" s="8" t="s">
        <v>105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spans="1:23" ht="57.75" customHeight="1" x14ac:dyDescent="0.25">
      <c r="A24" s="2" t="s">
        <v>106</v>
      </c>
      <c r="B24" s="3" t="s">
        <v>107</v>
      </c>
      <c r="C24" s="3" t="s">
        <v>108</v>
      </c>
      <c r="D24" s="3" t="s">
        <v>83</v>
      </c>
      <c r="E24" s="2" t="s">
        <v>16</v>
      </c>
      <c r="F24" s="3" t="s">
        <v>107</v>
      </c>
      <c r="G24" s="4" t="s">
        <v>84</v>
      </c>
      <c r="H24" s="3" t="s">
        <v>109</v>
      </c>
      <c r="I24" s="4" t="s">
        <v>20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spans="1:23" ht="57.75" customHeight="1" x14ac:dyDescent="0.25">
      <c r="A25" s="2" t="s">
        <v>110</v>
      </c>
      <c r="B25" s="3" t="s">
        <v>111</v>
      </c>
      <c r="C25" s="3" t="s">
        <v>112</v>
      </c>
      <c r="D25" s="3" t="s">
        <v>83</v>
      </c>
      <c r="E25" s="2" t="s">
        <v>16</v>
      </c>
      <c r="F25" s="3" t="s">
        <v>111</v>
      </c>
      <c r="G25" s="4" t="s">
        <v>84</v>
      </c>
      <c r="H25" s="3" t="s">
        <v>113</v>
      </c>
      <c r="I25" s="2" t="s">
        <v>105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ht="57.75" customHeight="1" x14ac:dyDescent="0.25">
      <c r="A26" s="8" t="s">
        <v>114</v>
      </c>
      <c r="B26" s="9" t="s">
        <v>115</v>
      </c>
      <c r="C26" s="9" t="s">
        <v>116</v>
      </c>
      <c r="D26" s="9" t="s">
        <v>117</v>
      </c>
      <c r="E26" s="8" t="s">
        <v>51</v>
      </c>
      <c r="F26" s="9" t="s">
        <v>118</v>
      </c>
      <c r="G26" s="10" t="s">
        <v>84</v>
      </c>
      <c r="H26" s="9" t="s">
        <v>119</v>
      </c>
      <c r="I26" s="8" t="s">
        <v>120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3" ht="57.75" customHeight="1" x14ac:dyDescent="0.25">
      <c r="A27" s="8" t="s">
        <v>121</v>
      </c>
      <c r="B27" s="9" t="s">
        <v>122</v>
      </c>
      <c r="C27" s="9" t="s">
        <v>123</v>
      </c>
      <c r="D27" s="9" t="s">
        <v>124</v>
      </c>
      <c r="E27" s="8" t="s">
        <v>51</v>
      </c>
      <c r="F27" s="9" t="s">
        <v>125</v>
      </c>
      <c r="G27" s="10" t="s">
        <v>84</v>
      </c>
      <c r="H27" s="9" t="s">
        <v>126</v>
      </c>
      <c r="I27" s="8" t="s">
        <v>120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spans="1:23" ht="57.75" customHeight="1" x14ac:dyDescent="0.25">
      <c r="A28" s="2" t="s">
        <v>127</v>
      </c>
      <c r="B28" s="3" t="s">
        <v>128</v>
      </c>
      <c r="C28" s="3" t="s">
        <v>129</v>
      </c>
      <c r="D28" s="3" t="s">
        <v>124</v>
      </c>
      <c r="E28" s="2" t="s">
        <v>16</v>
      </c>
      <c r="F28" s="3" t="s">
        <v>130</v>
      </c>
      <c r="G28" s="4" t="s">
        <v>84</v>
      </c>
      <c r="H28" s="3" t="s">
        <v>131</v>
      </c>
      <c r="I28" s="4" t="s">
        <v>20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spans="1:23" ht="57.75" customHeight="1" x14ac:dyDescent="0.25">
      <c r="A29" s="2" t="s">
        <v>132</v>
      </c>
      <c r="B29" s="3" t="s">
        <v>133</v>
      </c>
      <c r="C29" s="3" t="s">
        <v>134</v>
      </c>
      <c r="D29" s="3" t="s">
        <v>135</v>
      </c>
      <c r="E29" s="2" t="s">
        <v>16</v>
      </c>
      <c r="F29" s="3" t="s">
        <v>133</v>
      </c>
      <c r="G29" s="4" t="s">
        <v>84</v>
      </c>
      <c r="H29" s="3" t="s">
        <v>136</v>
      </c>
      <c r="I29" s="4" t="s">
        <v>20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spans="1:23" ht="57.75" customHeight="1" x14ac:dyDescent="0.25">
      <c r="A30" s="5" t="s">
        <v>137</v>
      </c>
      <c r="B30" s="6" t="s">
        <v>138</v>
      </c>
      <c r="C30" s="6" t="s">
        <v>139</v>
      </c>
      <c r="D30" s="6" t="s">
        <v>140</v>
      </c>
      <c r="E30" s="5" t="s">
        <v>24</v>
      </c>
      <c r="F30" s="6" t="s">
        <v>138</v>
      </c>
      <c r="G30" s="7" t="s">
        <v>84</v>
      </c>
      <c r="H30" s="6" t="s">
        <v>141</v>
      </c>
      <c r="I30" s="5" t="s">
        <v>42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ht="57.75" customHeight="1" x14ac:dyDescent="0.25">
      <c r="A31" s="5" t="s">
        <v>142</v>
      </c>
      <c r="B31" s="6" t="s">
        <v>143</v>
      </c>
      <c r="C31" s="6" t="s">
        <v>144</v>
      </c>
      <c r="D31" s="6" t="s">
        <v>124</v>
      </c>
      <c r="E31" s="5" t="s">
        <v>24</v>
      </c>
      <c r="F31" s="6" t="s">
        <v>145</v>
      </c>
      <c r="G31" s="7" t="s">
        <v>84</v>
      </c>
      <c r="H31" s="6" t="s">
        <v>146</v>
      </c>
      <c r="I31" s="5" t="s">
        <v>42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spans="1:23" ht="57.75" customHeight="1" x14ac:dyDescent="0.25">
      <c r="A32" s="5" t="s">
        <v>147</v>
      </c>
      <c r="B32" s="6" t="s">
        <v>148</v>
      </c>
      <c r="C32" s="6" t="s">
        <v>149</v>
      </c>
      <c r="D32" s="6" t="s">
        <v>124</v>
      </c>
      <c r="E32" s="5" t="s">
        <v>24</v>
      </c>
      <c r="F32" s="6" t="s">
        <v>150</v>
      </c>
      <c r="G32" s="7" t="s">
        <v>84</v>
      </c>
      <c r="H32" s="6" t="s">
        <v>151</v>
      </c>
      <c r="I32" s="5" t="s">
        <v>42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spans="1:23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spans="1:23" x14ac:dyDescent="0.25">
      <c r="A34" s="13"/>
      <c r="B34" s="16" t="s">
        <v>152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spans="1:23" x14ac:dyDescent="0.25">
      <c r="A35" s="13"/>
      <c r="B35" s="11" t="s">
        <v>153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spans="1:23" x14ac:dyDescent="0.25">
      <c r="A36" s="13"/>
      <c r="B36" s="11" t="s">
        <v>154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spans="1:23" x14ac:dyDescent="0.25">
      <c r="A37" s="13"/>
      <c r="B37" s="11" t="s">
        <v>155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spans="1:23" x14ac:dyDescent="0.25">
      <c r="A38" s="13"/>
      <c r="B38" s="11" t="s">
        <v>156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spans="1:23" x14ac:dyDescent="0.25">
      <c r="A39" s="13"/>
      <c r="B39" s="11" t="s">
        <v>157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spans="1:23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tabSelected="1" topLeftCell="A16" zoomScaleNormal="100" workbookViewId="0">
      <selection activeCell="F9" sqref="F9"/>
    </sheetView>
  </sheetViews>
  <sheetFormatPr baseColWidth="10" defaultColWidth="8.7109375" defaultRowHeight="15" x14ac:dyDescent="0.25"/>
  <cols>
    <col min="1" max="1" width="3" customWidth="1"/>
    <col min="2" max="2" width="34" customWidth="1"/>
    <col min="3" max="5" width="12" customWidth="1"/>
    <col min="6" max="6" width="14" customWidth="1"/>
  </cols>
  <sheetData>
    <row r="1" spans="1:7" x14ac:dyDescent="0.25">
      <c r="A1" s="13"/>
      <c r="B1" s="13"/>
      <c r="C1" s="13"/>
      <c r="D1" s="13"/>
      <c r="E1" s="13"/>
      <c r="F1" s="13"/>
      <c r="G1" s="13"/>
    </row>
    <row r="2" spans="1:7" ht="18.75" x14ac:dyDescent="0.3">
      <c r="A2" s="13"/>
      <c r="B2" s="17" t="s">
        <v>158</v>
      </c>
      <c r="C2" s="13"/>
      <c r="D2" s="13"/>
      <c r="E2" s="13"/>
      <c r="F2" s="13"/>
      <c r="G2" s="13"/>
    </row>
    <row r="3" spans="1:7" x14ac:dyDescent="0.25">
      <c r="A3" s="13"/>
      <c r="B3" s="11" t="s">
        <v>159</v>
      </c>
      <c r="C3" s="13"/>
      <c r="D3" s="13"/>
      <c r="E3" s="13"/>
      <c r="F3" s="13"/>
      <c r="G3" s="13"/>
    </row>
    <row r="4" spans="1:7" x14ac:dyDescent="0.25">
      <c r="A4" s="13"/>
      <c r="B4" s="13"/>
      <c r="C4" s="13"/>
      <c r="D4" s="13"/>
      <c r="E4" s="13"/>
      <c r="F4" s="13"/>
      <c r="G4" s="13"/>
    </row>
    <row r="5" spans="1:7" x14ac:dyDescent="0.25">
      <c r="A5" s="13"/>
      <c r="B5" s="18" t="s">
        <v>160</v>
      </c>
      <c r="C5" s="13"/>
      <c r="D5" s="13"/>
      <c r="E5" s="13"/>
      <c r="F5" s="13"/>
      <c r="G5" s="13"/>
    </row>
    <row r="6" spans="1:7" x14ac:dyDescent="0.25">
      <c r="A6" s="13"/>
      <c r="B6" s="19" t="s">
        <v>7</v>
      </c>
      <c r="C6" s="19" t="s">
        <v>161</v>
      </c>
      <c r="D6" s="13"/>
      <c r="E6" s="13"/>
      <c r="F6" s="13"/>
      <c r="G6" s="13"/>
    </row>
    <row r="7" spans="1:7" x14ac:dyDescent="0.25">
      <c r="A7" s="13"/>
      <c r="B7" s="20" t="s">
        <v>51</v>
      </c>
      <c r="C7" s="21">
        <f>COUNTIF('Anexo B'!$E$6:$E$32,"Crítico")</f>
        <v>5</v>
      </c>
      <c r="D7" s="13"/>
      <c r="E7" s="13"/>
      <c r="F7" s="13"/>
      <c r="G7" s="13"/>
    </row>
    <row r="8" spans="1:7" x14ac:dyDescent="0.25">
      <c r="A8" s="13"/>
      <c r="B8" s="20" t="s">
        <v>16</v>
      </c>
      <c r="C8" s="21">
        <f>COUNTIF('Anexo B'!$E$6:$E$32,"Mayor")</f>
        <v>13</v>
      </c>
      <c r="D8" s="13"/>
      <c r="E8" s="13"/>
      <c r="F8" s="13"/>
      <c r="G8" s="13"/>
    </row>
    <row r="9" spans="1:7" x14ac:dyDescent="0.25">
      <c r="A9" s="13"/>
      <c r="B9" s="20" t="s">
        <v>24</v>
      </c>
      <c r="C9" s="21">
        <f>COUNTIF('Anexo B'!$E$6:$E$32,"Menor")</f>
        <v>9</v>
      </c>
      <c r="D9" s="13"/>
      <c r="E9" s="13"/>
      <c r="F9" s="13"/>
      <c r="G9" s="13"/>
    </row>
    <row r="10" spans="1:7" x14ac:dyDescent="0.25">
      <c r="A10" s="13"/>
      <c r="B10" s="20" t="s">
        <v>162</v>
      </c>
      <c r="C10" s="21">
        <f>COUNTA('Anexo B'!$A$6:$A$32)</f>
        <v>27</v>
      </c>
      <c r="D10" s="13"/>
      <c r="E10" s="13"/>
      <c r="F10" s="13"/>
      <c r="G10" s="13"/>
    </row>
    <row r="11" spans="1:7" x14ac:dyDescent="0.25">
      <c r="A11" s="13"/>
      <c r="B11" s="13"/>
      <c r="C11" s="13"/>
      <c r="D11" s="13"/>
      <c r="E11" s="13"/>
      <c r="F11" s="13"/>
      <c r="G11" s="13"/>
    </row>
    <row r="12" spans="1:7" x14ac:dyDescent="0.25">
      <c r="A12" s="13"/>
      <c r="B12" s="18" t="s">
        <v>163</v>
      </c>
      <c r="C12" s="13"/>
      <c r="D12" s="13"/>
      <c r="E12" s="13"/>
      <c r="F12" s="13"/>
      <c r="G12" s="13"/>
    </row>
    <row r="13" spans="1:7" x14ac:dyDescent="0.25">
      <c r="A13" s="13"/>
      <c r="B13" s="19" t="s">
        <v>164</v>
      </c>
      <c r="C13" s="19" t="s">
        <v>161</v>
      </c>
      <c r="D13" s="13"/>
      <c r="E13" s="13"/>
      <c r="F13" s="13"/>
      <c r="G13" s="13"/>
    </row>
    <row r="14" spans="1:7" x14ac:dyDescent="0.25">
      <c r="A14" s="13"/>
      <c r="B14" s="20" t="s">
        <v>165</v>
      </c>
      <c r="C14" s="21">
        <f>COUNTIF('Anexo B'!$G$6:$G$32,"Gutiérrez")</f>
        <v>13</v>
      </c>
      <c r="D14" s="13"/>
      <c r="E14" s="13"/>
      <c r="F14" s="13"/>
      <c r="G14" s="13"/>
    </row>
    <row r="15" spans="1:7" x14ac:dyDescent="0.25">
      <c r="A15" s="13"/>
      <c r="B15" s="20" t="s">
        <v>166</v>
      </c>
      <c r="C15" s="21">
        <f>COUNTIF('Anexo B'!$G$6:$G$32,"Nieves")</f>
        <v>14</v>
      </c>
      <c r="D15" s="13"/>
      <c r="E15" s="13"/>
      <c r="F15" s="13"/>
      <c r="G15" s="13"/>
    </row>
    <row r="16" spans="1:7" x14ac:dyDescent="0.25">
      <c r="A16" s="13"/>
      <c r="B16" s="13"/>
      <c r="C16" s="13"/>
      <c r="D16" s="13"/>
      <c r="E16" s="13"/>
      <c r="F16" s="13"/>
      <c r="G16" s="13"/>
    </row>
    <row r="17" spans="1:7" x14ac:dyDescent="0.25">
      <c r="A17" s="13"/>
      <c r="B17" s="18" t="s">
        <v>167</v>
      </c>
      <c r="C17" s="13"/>
      <c r="D17" s="13"/>
      <c r="E17" s="13"/>
      <c r="F17" s="13"/>
      <c r="G17" s="13"/>
    </row>
    <row r="18" spans="1:7" x14ac:dyDescent="0.25">
      <c r="A18" s="13"/>
      <c r="B18" s="19" t="s">
        <v>11</v>
      </c>
      <c r="C18" s="19" t="s">
        <v>161</v>
      </c>
      <c r="D18" s="13"/>
      <c r="E18" s="13"/>
      <c r="F18" s="13"/>
      <c r="G18" s="13"/>
    </row>
    <row r="19" spans="1:7" x14ac:dyDescent="0.25">
      <c r="A19" s="13"/>
      <c r="B19" s="20" t="s">
        <v>168</v>
      </c>
      <c r="C19" s="21">
        <f>COUNTIF('Anexo B'!$I$6:$I$32,"Retrabajo")</f>
        <v>17</v>
      </c>
      <c r="D19" s="13"/>
      <c r="E19" s="13"/>
      <c r="F19" s="13"/>
      <c r="G19" s="13"/>
    </row>
    <row r="20" spans="1:7" x14ac:dyDescent="0.25">
      <c r="A20" s="13"/>
      <c r="B20" s="20" t="s">
        <v>169</v>
      </c>
      <c r="C20" s="21">
        <f>COUNTIF('Anexo B'!$I$6:$I$32,"RFC*")</f>
        <v>5</v>
      </c>
      <c r="D20" s="13"/>
      <c r="E20" s="13"/>
      <c r="F20" s="13"/>
      <c r="G20" s="13"/>
    </row>
    <row r="21" spans="1:7" x14ac:dyDescent="0.25">
      <c r="A21" s="13"/>
      <c r="B21" s="20" t="s">
        <v>170</v>
      </c>
      <c r="C21" s="21">
        <f>COUNTIF('Anexo B'!$I$6:$I$32,"Diferido")</f>
        <v>5</v>
      </c>
      <c r="D21" s="13"/>
      <c r="E21" s="13"/>
      <c r="F21" s="13"/>
      <c r="G21" s="13"/>
    </row>
    <row r="22" spans="1:7" x14ac:dyDescent="0.25">
      <c r="A22" s="13"/>
      <c r="B22" s="20" t="s">
        <v>171</v>
      </c>
      <c r="C22" s="21">
        <f>COUNTA('Anexo B'!$A$6:$A$32)-COUNTIF('Anexo B'!$I$6:$I$32,"Diferido")</f>
        <v>22</v>
      </c>
      <c r="D22" s="13"/>
      <c r="E22" s="13"/>
      <c r="F22" s="13"/>
      <c r="G22" s="13"/>
    </row>
    <row r="23" spans="1:7" x14ac:dyDescent="0.25">
      <c r="A23" s="13"/>
      <c r="B23" s="13"/>
      <c r="C23" s="13"/>
      <c r="D23" s="13"/>
      <c r="E23" s="13"/>
      <c r="F23" s="13"/>
      <c r="G23" s="13"/>
    </row>
    <row r="24" spans="1:7" x14ac:dyDescent="0.25">
      <c r="A24" s="13"/>
      <c r="B24" s="18" t="s">
        <v>172</v>
      </c>
      <c r="C24" s="13"/>
      <c r="D24" s="13"/>
      <c r="E24" s="13"/>
      <c r="F24" s="13"/>
      <c r="G24" s="13"/>
    </row>
    <row r="25" spans="1:7" x14ac:dyDescent="0.25">
      <c r="A25" s="13"/>
      <c r="B25" s="19" t="s">
        <v>173</v>
      </c>
      <c r="C25" s="19" t="s">
        <v>174</v>
      </c>
      <c r="D25" s="19" t="s">
        <v>175</v>
      </c>
      <c r="E25" s="19" t="s">
        <v>176</v>
      </c>
      <c r="F25" s="13"/>
      <c r="G25" s="13"/>
    </row>
    <row r="26" spans="1:7" x14ac:dyDescent="0.25">
      <c r="A26" s="13"/>
      <c r="B26" s="20" t="s">
        <v>177</v>
      </c>
      <c r="C26" s="21">
        <f>COUNTA('Anexo B'!$A$6:$A$32)</f>
        <v>27</v>
      </c>
      <c r="D26" s="21" t="s">
        <v>178</v>
      </c>
      <c r="E26" s="21" t="s">
        <v>179</v>
      </c>
      <c r="F26" s="13"/>
      <c r="G26" s="13"/>
    </row>
    <row r="27" spans="1:7" x14ac:dyDescent="0.25">
      <c r="A27" s="13"/>
      <c r="B27" s="20" t="s">
        <v>180</v>
      </c>
      <c r="C27" s="21">
        <f>COUNTIF('Anexo B'!$E$6:$E$32,"Crítico")+COUNTIF('Anexo B'!$E$6:$E$32,"Mayor")</f>
        <v>18</v>
      </c>
      <c r="D27" s="21" t="s">
        <v>181</v>
      </c>
      <c r="E27" s="21" t="s">
        <v>179</v>
      </c>
      <c r="F27" s="13"/>
      <c r="G27" s="13"/>
    </row>
    <row r="28" spans="1:7" x14ac:dyDescent="0.25">
      <c r="A28" s="13"/>
      <c r="B28" s="20" t="s">
        <v>182</v>
      </c>
      <c r="C28" s="21">
        <f>COUNTIFS('Anexo B'!$E$6:$E$32,"Crítico")+COUNTIFS('Anexo B'!$E$6:$E$32,"Mayor")</f>
        <v>18</v>
      </c>
      <c r="D28" s="21" t="s">
        <v>183</v>
      </c>
      <c r="E28" s="21" t="s">
        <v>179</v>
      </c>
      <c r="F28" s="13"/>
      <c r="G28" s="13"/>
    </row>
    <row r="29" spans="1:7" x14ac:dyDescent="0.25">
      <c r="A29" s="13"/>
      <c r="B29" s="13"/>
      <c r="C29" s="13"/>
      <c r="D29" s="13"/>
      <c r="E29" s="13"/>
      <c r="F29" s="13"/>
      <c r="G29" s="1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Anexo B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2026-08-09T06:14:42Z</dcterms:created>
  <dcterms:modified xsi:type="dcterms:W3CDTF">2026-08-09T07:47:31Z</dcterms:modified>
  <dc:language>en-US</dc:language>
</cp:coreProperties>
</file>