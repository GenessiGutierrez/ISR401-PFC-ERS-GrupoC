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1-M5" sheetId="1" state="visible" r:id="rId3"/>
    <sheet name="Datos" sheetId="2" state="visible" r:id="rId4"/>
    <sheet name="Parametros" sheetId="3" state="visible" r:id="rId5"/>
    <sheet name="M5 Esfuerz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<sst xmlns="http://schemas.openxmlformats.org/spreadsheetml/2006/main" count="217" uniqueCount="107">
  <si>
    <t xml:space="preserve">MÉTRICAS DE LA INSPECCIÓN FAGAN — M1 a M5</t>
  </si>
  <si>
    <t xml:space="preserve">ERS/SRS MundiPets v3.0 · PE4 Unidad IV. Todos los valores se calculan desde las hojas Datos, Parametros y M5 Esfuerzo.</t>
  </si>
  <si>
    <t xml:space="preserve">M1 — Densidad de defectos</t>
  </si>
  <si>
    <t xml:space="preserve">Indicador</t>
  </si>
  <si>
    <t xml:space="preserve">Valor</t>
  </si>
  <si>
    <t xml:space="preserve">Unidad</t>
  </si>
  <si>
    <t xml:space="preserve">Defectos únicos</t>
  </si>
  <si>
    <t xml:space="preserve">Páginas efectivas</t>
  </si>
  <si>
    <t xml:space="preserve">Densidad</t>
  </si>
  <si>
    <t xml:space="preserve">defectos/página</t>
  </si>
  <si>
    <t xml:space="preserve">M2 — Distribución por tipo de defecto</t>
  </si>
  <si>
    <t xml:space="preserve">Propiedad (ISO 29148 §5.2)</t>
  </si>
  <si>
    <t xml:space="preserve">Defectos</t>
  </si>
  <si>
    <t xml:space="preserve">% del total</t>
  </si>
  <si>
    <t xml:space="preserve">Consistencia</t>
  </si>
  <si>
    <t xml:space="preserve">Ambigüedad</t>
  </si>
  <si>
    <t xml:space="preserve">Completitud</t>
  </si>
  <si>
    <t xml:space="preserve">Verificabilidad</t>
  </si>
  <si>
    <t xml:space="preserve">Trazabilidad</t>
  </si>
  <si>
    <t xml:space="preserve">Factibilidad</t>
  </si>
  <si>
    <t xml:space="preserve">M3 — Distribución por severidad</t>
  </si>
  <si>
    <t xml:space="preserve">Severidad</t>
  </si>
  <si>
    <t xml:space="preserve">Crítico</t>
  </si>
  <si>
    <t xml:space="preserve">Mayor</t>
  </si>
  <si>
    <t xml:space="preserve">Menor</t>
  </si>
  <si>
    <t xml:space="preserve">Críticos + mayores (retrabajo obligatorio)</t>
  </si>
  <si>
    <t xml:space="preserve">M4 — Tasa de detección por inspectora</t>
  </si>
  <si>
    <t xml:space="preserve">Inspectora</t>
  </si>
  <si>
    <t xml:space="preserve">Reportados</t>
  </si>
  <si>
    <t xml:space="preserve">Únicos</t>
  </si>
  <si>
    <t xml:space="preserve">Tasa detección</t>
  </si>
  <si>
    <t xml:space="preserve">Precisión</t>
  </si>
  <si>
    <t xml:space="preserve">Nieves Jimmy</t>
  </si>
  <si>
    <t xml:space="preserve">Gutiérrez Génesis</t>
  </si>
  <si>
    <t xml:space="preserve">TOTAL</t>
  </si>
  <si>
    <t xml:space="preserve">Duplicados descartados</t>
  </si>
  <si>
    <t xml:space="preserve">M5 — Esfuerzo y eficiencia</t>
  </si>
  <si>
    <t xml:space="preserve">Esfuerzo total</t>
  </si>
  <si>
    <t xml:space="preserve">horas-persona</t>
  </si>
  <si>
    <t xml:space="preserve">Eficiencia</t>
  </si>
  <si>
    <t xml:space="preserve">defectos/hora-persona</t>
  </si>
  <si>
    <t xml:space="preserve">Coste unitario</t>
  </si>
  <si>
    <t xml:space="preserve">horas-persona por defecto</t>
  </si>
  <si>
    <t xml:space="preserve">DATOS BASE — copia reducida del Anexo B</t>
  </si>
  <si>
    <t xml:space="preserve">Si cambia un defecto en el Anexo B, actualizar esta hoja: las cinco métricas se recalculan solas.</t>
  </si>
  <si>
    <t xml:space="preserve">N.º</t>
  </si>
  <si>
    <t xml:space="preserve">Tipo primario</t>
  </si>
  <si>
    <t xml:space="preserve">Detectado por</t>
  </si>
  <si>
    <t xml:space="preserve">Vía</t>
  </si>
  <si>
    <t xml:space="preserve">D-01</t>
  </si>
  <si>
    <t xml:space="preserve">Gutiérrez</t>
  </si>
  <si>
    <t xml:space="preserve">Retrabajo</t>
  </si>
  <si>
    <t xml:space="preserve">D-02</t>
  </si>
  <si>
    <t xml:space="preserve">D-03</t>
  </si>
  <si>
    <t xml:space="preserve">D-04</t>
  </si>
  <si>
    <t xml:space="preserve">D-05</t>
  </si>
  <si>
    <t xml:space="preserve">Diferido</t>
  </si>
  <si>
    <t xml:space="preserve">D-06</t>
  </si>
  <si>
    <t xml:space="preserve">D-07</t>
  </si>
  <si>
    <t xml:space="preserve">RFC-01</t>
  </si>
  <si>
    <t xml:space="preserve">D-08</t>
  </si>
  <si>
    <t xml:space="preserve">D-09</t>
  </si>
  <si>
    <t xml:space="preserve">D-10</t>
  </si>
  <si>
    <t xml:space="preserve">D-11</t>
  </si>
  <si>
    <t xml:space="preserve">D-12</t>
  </si>
  <si>
    <t xml:space="preserve">D-13</t>
  </si>
  <si>
    <t xml:space="preserve">D-14</t>
  </si>
  <si>
    <t xml:space="preserve">Nieves</t>
  </si>
  <si>
    <t xml:space="preserve">D-15</t>
  </si>
  <si>
    <t xml:space="preserve">D-16</t>
  </si>
  <si>
    <t xml:space="preserve">D-17</t>
  </si>
  <si>
    <t xml:space="preserve">D-18</t>
  </si>
  <si>
    <t xml:space="preserve">RFC-02</t>
  </si>
  <si>
    <t xml:space="preserve">D-19</t>
  </si>
  <si>
    <t xml:space="preserve">D-20</t>
  </si>
  <si>
    <t xml:space="preserve">D-21</t>
  </si>
  <si>
    <t xml:space="preserve">RFC-03</t>
  </si>
  <si>
    <t xml:space="preserve">D-22</t>
  </si>
  <si>
    <t xml:space="preserve">D-23</t>
  </si>
  <si>
    <t xml:space="preserve">D-24</t>
  </si>
  <si>
    <t xml:space="preserve">D-25</t>
  </si>
  <si>
    <t xml:space="preserve">D-26</t>
  </si>
  <si>
    <t xml:space="preserve">D-27</t>
  </si>
  <si>
    <t xml:space="preserve">PARÁMETROS DE LA INSPECCIÓN</t>
  </si>
  <si>
    <t xml:space="preserve">Celdas amarillas = entrada manual. Todo lo demás se calcula.</t>
  </si>
  <si>
    <t xml:space="preserve">Parámetro</t>
  </si>
  <si>
    <t xml:space="preserve">Origen</t>
  </si>
  <si>
    <t xml:space="preserve">Páginas efectivas inspeccionadas</t>
  </si>
  <si>
    <t xml:space="preserve">Bloques B1 a B4 del ERS v3.0 (Tabla 5 del informe)</t>
  </si>
  <si>
    <t xml:space="preserve">Defectos reportados — Gutiérrez</t>
  </si>
  <si>
    <t xml:space="preserve">Según su checklist del Anexo A</t>
  </si>
  <si>
    <t xml:space="preserve">Defectos reportados — Nieves</t>
  </si>
  <si>
    <t xml:space="preserve">Duración de la reunión (min)</t>
  </si>
  <si>
    <t xml:space="preserve">Límite establecido: 90</t>
  </si>
  <si>
    <t xml:space="preserve">Nº de inspectoras</t>
  </si>
  <si>
    <t xml:space="preserve">Equipo de dos personas, dos roles cada una</t>
  </si>
  <si>
    <t xml:space="preserve">M5 — ESFUERZO DE LA INSPECCIÓN</t>
  </si>
  <si>
    <t xml:space="preserve">Fase</t>
  </si>
  <si>
    <t xml:space="preserve">Duración (h)</t>
  </si>
  <si>
    <t xml:space="preserve">Personas</t>
  </si>
  <si>
    <t xml:space="preserve">Horas-persona</t>
  </si>
  <si>
    <t xml:space="preserve">Planificación y visión general (alcance, roles y perspectivas)</t>
  </si>
  <si>
    <t xml:space="preserve">Preparación individual</t>
  </si>
  <si>
    <t xml:space="preserve">Reunión de inspección</t>
  </si>
  <si>
    <t xml:space="preserve">Consolidación del Anexo B y cálculo de métricas</t>
  </si>
  <si>
    <t xml:space="preserve">Retrabajo (corrección de 22 defectos)</t>
  </si>
  <si>
    <t xml:space="preserve">Seguimiento y verificación de cierre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</si>
</sst>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"/>
    <numFmt numFmtId="167" formatCode="0.0%"/>
    <numFmt numFmtId="168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6E3C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006E3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006E3C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6E3C"/>
        <bgColor rgb="FF008080"/>
      </patternFill>
    </fill>
    <fill>
      <patternFill patternType="solid">
        <fgColor rgb="FFFFF2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E3C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02A2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M2 — Distribución por propiedad de calidad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'M1-M5'!C12</c:f>
              <c:strCache>
                <c:ptCount val="1"/>
                <c:pt idx="0">
                  <c:v>Defectos</c:v>
                </c:pt>
              </c:strCache>
            </c:strRef>
          </c:tx>
          <c:spPr>
            <a:solidFill>
              <a:srgbClr val="006e3c"/>
            </a:solidFill>
            <a:ln w="9360">
              <a:solidFill>
                <a:srgbClr val="006e3c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'M1-M5'!$B$13:$B$18</c:f>
              <c:strCache>
                <c:ptCount val="6"/>
                <c:pt idx="0">
                  <c:v>Consistencia</c:v>
                </c:pt>
                <c:pt idx="1">
                  <c:v>Ambigüedad</c:v>
                </c:pt>
                <c:pt idx="2">
                  <c:v>Completitud</c:v>
                </c:pt>
                <c:pt idx="3">
                  <c:v>Verificabilidad</c:v>
                </c:pt>
                <c:pt idx="4">
                  <c:v>Trazabilidad</c:v>
                </c:pt>
                <c:pt idx="5">
                  <c:v>Factibilidad</c:v>
                </c:pt>
              </c:strCache>
            </c:strRef>
          </c:cat>
          <c:val>
            <c:numRef>
              <c:f>'M1-M5'!$C$13:$C$18</c:f>
              <c:numCache>
                <c:formatCode>General</c:formatCode>
                <c:ptCount val="6"/>
                <c:pt idx="0">
                  <c:v>12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</c:ser>
        <c:gapWidth val="150"/>
        <c:overlap val="0"/>
        <c:axId val="96398217"/>
        <c:axId val="96414296"/>
      </c:barChart>
      <c:catAx>
        <c:axId val="963982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14296"/>
        <c:crosses val="autoZero"/>
        <c:auto val="1"/>
        <c:lblAlgn val="ctr"/>
        <c:lblOffset val="100"/>
        <c:noMultiLvlLbl val="0"/>
      </c:catAx>
      <c:valAx>
        <c:axId val="964142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Defectos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982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M3 — Distribución por severidad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'M1-M5'!C21</c:f>
              <c:strCache>
                <c:ptCount val="1"/>
                <c:pt idx="0">
                  <c:v>Defectos</c:v>
                </c:pt>
              </c:strCache>
            </c:strRef>
          </c:tx>
          <c:spPr>
            <a:solidFill>
              <a:srgbClr val="b02a2a"/>
            </a:solidFill>
            <a:ln w="9360">
              <a:solidFill>
                <a:srgbClr val="b02a2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'M1-M5'!$B$22:$B$24</c:f>
              <c:strCache>
                <c:ptCount val="3"/>
                <c:pt idx="0">
                  <c:v>Crítico</c:v>
                </c:pt>
                <c:pt idx="1">
                  <c:v>Mayor</c:v>
                </c:pt>
                <c:pt idx="2">
                  <c:v>Menor</c:v>
                </c:pt>
              </c:strCache>
            </c:strRef>
          </c:cat>
          <c:val>
            <c:numRef>
              <c:f>'M1-M5'!$C$22:$C$24</c:f>
              <c:numCache>
                <c:formatCode>General</c:formatCode>
                <c:ptCount val="3"/>
                <c:pt idx="0">
                  <c:v>5</c:v>
                </c:pt>
                <c:pt idx="1">
                  <c:v>13</c:v>
                </c:pt>
                <c:pt idx="2">
                  <c:v>9</c:v>
                </c:pt>
              </c:numCache>
            </c:numRef>
          </c:val>
        </c:ser>
        <c:gapWidth val="150"/>
        <c:overlap val="0"/>
        <c:axId val="20557275"/>
        <c:axId val="22931266"/>
      </c:barChart>
      <c:catAx>
        <c:axId val="205572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31266"/>
        <c:crosses val="autoZero"/>
        <c:auto val="1"/>
        <c:lblAlgn val="ctr"/>
        <c:lblOffset val="100"/>
        <c:noMultiLvlLbl val="0"/>
      </c:catAx>
      <c:valAx>
        <c:axId val="229312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Defectos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572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M4 — Reportados frente a únicos acreditados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'M1-M5'!C28</c:f>
              <c:strCache>
                <c:ptCount val="1"/>
                <c:pt idx="0">
                  <c:v>Reportados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'M1-M5'!$B$29:$B$30</c:f>
              <c:strCache>
                <c:ptCount val="2"/>
                <c:pt idx="0">
                  <c:v>Nieves Jimmy</c:v>
                </c:pt>
                <c:pt idx="1">
                  <c:v>Gutiérrez Génesis</c:v>
                </c:pt>
              </c:strCache>
            </c:strRef>
          </c:cat>
          <c:val>
            <c:numRef>
              <c:f>'M1-M5'!$C$29:$C$30</c:f>
              <c:numCache>
                <c:formatCode>General</c:formatCode>
                <c:ptCount val="2"/>
                <c:pt idx="0">
                  <c:v>17</c:v>
                </c:pt>
                <c:pt idx="1">
                  <c:v>16</c:v>
                </c:pt>
              </c:numCache>
            </c:numRef>
          </c:val>
        </c:ser>
        <c:ser>
          <c:idx val="1"/>
          <c:order val="1"/>
          <c:tx>
            <c:strRef>
              <c:f>'M1-M5'!D28</c:f>
              <c:strCache>
                <c:ptCount val="1"/>
                <c:pt idx="0">
                  <c:v>Únicos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'M1-M5'!$B$29:$B$30</c:f>
              <c:strCache>
                <c:ptCount val="2"/>
                <c:pt idx="0">
                  <c:v>Nieves Jimmy</c:v>
                </c:pt>
                <c:pt idx="1">
                  <c:v>Gutiérrez Génesis</c:v>
                </c:pt>
              </c:strCache>
            </c:strRef>
          </c:cat>
          <c:val>
            <c:numRef>
              <c:f>'M1-M5'!$D$29:$D$30</c:f>
              <c:numCache>
                <c:formatCode>General</c:formatCode>
                <c:ptCount val="2"/>
                <c:pt idx="0">
                  <c:v>14</c:v>
                </c:pt>
                <c:pt idx="1">
                  <c:v>13</c:v>
                </c:pt>
              </c:numCache>
            </c:numRef>
          </c:val>
        </c:ser>
        <c:gapWidth val="150"/>
        <c:overlap val="0"/>
        <c:axId val="62269340"/>
        <c:axId val="53347459"/>
      </c:barChart>
      <c:catAx>
        <c:axId val="622693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47459"/>
        <c:crosses val="autoZero"/>
        <c:auto val="1"/>
        <c:lblAlgn val="ctr"/>
        <c:lblOffset val="100"/>
        <c:noMultiLvlLbl val="0"/>
      </c:catAx>
      <c:valAx>
        <c:axId val="533474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Defectos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693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145440</xdr:rowOff>
    </xdr:from>
    <xdr:to>
      <xdr:col>15</xdr:col>
      <xdr:colOff>507600</xdr:colOff>
      <xdr:row>17</xdr:row>
      <xdr:rowOff>178200</xdr:rowOff>
    </xdr:to>
    <xdr:graphicFrame>
      <xdr:nvGraphicFramePr>
        <xdr:cNvPr id="0" name="Chart 1"/>
        <xdr:cNvGraphicFramePr/>
      </xdr:nvGraphicFramePr>
      <xdr:xfrm>
        <a:off x="7307640" y="762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145440</xdr:rowOff>
    </xdr:from>
    <xdr:to>
      <xdr:col>15</xdr:col>
      <xdr:colOff>507600</xdr:colOff>
      <xdr:row>34</xdr:row>
      <xdr:rowOff>178200</xdr:rowOff>
    </xdr:to>
    <xdr:graphicFrame>
      <xdr:nvGraphicFramePr>
        <xdr:cNvPr id="1" name="Chart 2"/>
        <xdr:cNvGraphicFramePr/>
      </xdr:nvGraphicFramePr>
      <xdr:xfrm>
        <a:off x="7307640" y="4000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37</xdr:row>
      <xdr:rowOff>145440</xdr:rowOff>
    </xdr:from>
    <xdr:to>
      <xdr:col>15</xdr:col>
      <xdr:colOff>507600</xdr:colOff>
      <xdr:row>51</xdr:row>
      <xdr:rowOff>177840</xdr:rowOff>
    </xdr:to>
    <xdr:graphicFrame>
      <xdr:nvGraphicFramePr>
        <xdr:cNvPr id="2" name="Chart 3"/>
        <xdr:cNvGraphicFramePr/>
      </xdr:nvGraphicFramePr>
      <xdr:xfrm>
        <a:off x="7307640" y="7238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14"/>
    <col collapsed="false" customWidth="true" hidden="false" outlineLevel="0" max="6" min="6" style="0" width="16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</row>
    <row r="7" customFormat="false" ht="15" hidden="false" customHeight="false" outlineLevel="0" collapsed="false">
      <c r="B7" s="5" t="s">
        <v>6</v>
      </c>
      <c r="C7" s="6" t="n">
        <f aca="false">COUNTA(Datos!$A$5:$A$31)</f>
        <v>27</v>
      </c>
      <c r="D7" s="6"/>
    </row>
    <row r="8" customFormat="false" ht="15" hidden="false" customHeight="false" outlineLevel="0" collapsed="false">
      <c r="B8" s="5" t="s">
        <v>7</v>
      </c>
      <c r="C8" s="6" t="n">
        <f aca="false">Parametros!$C$6</f>
        <v>52</v>
      </c>
      <c r="D8" s="6"/>
    </row>
    <row r="9" customFormat="false" ht="15" hidden="false" customHeight="false" outlineLevel="0" collapsed="false">
      <c r="B9" s="5" t="s">
        <v>8</v>
      </c>
      <c r="C9" s="7" t="n">
        <f aca="false">COUNTA(Datos!$A$5:$A$31)/Parametros!$C$6</f>
        <v>0.519230769230769</v>
      </c>
      <c r="D9" s="7" t="s">
        <v>9</v>
      </c>
    </row>
    <row r="11" customFormat="false" ht="15" hidden="false" customHeight="false" outlineLevel="0" collapsed="false">
      <c r="B11" s="3" t="s">
        <v>10</v>
      </c>
    </row>
    <row r="12" customFormat="false" ht="15" hidden="false" customHeight="false" outlineLevel="0" collapsed="false">
      <c r="B12" s="4" t="s">
        <v>11</v>
      </c>
      <c r="C12" s="4" t="s">
        <v>12</v>
      </c>
      <c r="D12" s="4" t="s">
        <v>13</v>
      </c>
    </row>
    <row r="13" customFormat="false" ht="15" hidden="false" customHeight="false" outlineLevel="0" collapsed="false">
      <c r="B13" s="5" t="s">
        <v>14</v>
      </c>
      <c r="C13" s="6" t="n">
        <f aca="false">COUNTIF(Datos!$B$5:$B$31,"Consistencia")</f>
        <v>12</v>
      </c>
      <c r="D13" s="8" t="n">
        <f aca="false">COUNTIF(Datos!$B$5:$B$31,"Consistencia")/COUNTA(Datos!$A$5:$A$31)</f>
        <v>0.444444444444444</v>
      </c>
    </row>
    <row r="14" customFormat="false" ht="15" hidden="false" customHeight="false" outlineLevel="0" collapsed="false">
      <c r="B14" s="5" t="s">
        <v>15</v>
      </c>
      <c r="C14" s="6" t="n">
        <f aca="false">COUNTIF(Datos!$B$5:$B$31,"Ambigüedad")</f>
        <v>4</v>
      </c>
      <c r="D14" s="8" t="n">
        <f aca="false">COUNTIF(Datos!$B$5:$B$31,"Ambigüedad")/COUNTA(Datos!$A$5:$A$31)</f>
        <v>0.148148148148148</v>
      </c>
    </row>
    <row r="15" customFormat="false" ht="15" hidden="false" customHeight="false" outlineLevel="0" collapsed="false">
      <c r="B15" s="5" t="s">
        <v>16</v>
      </c>
      <c r="C15" s="6" t="n">
        <f aca="false">COUNTIF(Datos!$B$5:$B$31,"Completitud")</f>
        <v>4</v>
      </c>
      <c r="D15" s="8" t="n">
        <f aca="false">COUNTIF(Datos!$B$5:$B$31,"Completitud")/COUNTA(Datos!$A$5:$A$31)</f>
        <v>0.148148148148148</v>
      </c>
    </row>
    <row r="16" customFormat="false" ht="15" hidden="false" customHeight="false" outlineLevel="0" collapsed="false">
      <c r="B16" s="5" t="s">
        <v>17</v>
      </c>
      <c r="C16" s="6" t="n">
        <f aca="false">COUNTIF(Datos!$B$5:$B$31,"Verificabilidad")</f>
        <v>3</v>
      </c>
      <c r="D16" s="8" t="n">
        <f aca="false">COUNTIF(Datos!$B$5:$B$31,"Verificabilidad")/COUNTA(Datos!$A$5:$A$31)</f>
        <v>0.111111111111111</v>
      </c>
    </row>
    <row r="17" customFormat="false" ht="15" hidden="false" customHeight="false" outlineLevel="0" collapsed="false">
      <c r="B17" s="5" t="s">
        <v>18</v>
      </c>
      <c r="C17" s="6" t="n">
        <f aca="false">COUNTIF(Datos!$B$5:$B$31,"Trazabilidad")</f>
        <v>2</v>
      </c>
      <c r="D17" s="8" t="n">
        <f aca="false">COUNTIF(Datos!$B$5:$B$31,"Trazabilidad")/COUNTA(Datos!$A$5:$A$31)</f>
        <v>0.0740740740740741</v>
      </c>
    </row>
    <row r="18" customFormat="false" ht="15" hidden="false" customHeight="false" outlineLevel="0" collapsed="false">
      <c r="B18" s="5" t="s">
        <v>19</v>
      </c>
      <c r="C18" s="6" t="n">
        <f aca="false">COUNTIF(Datos!$B$5:$B$31,"Factibilidad")</f>
        <v>2</v>
      </c>
      <c r="D18" s="8" t="n">
        <f aca="false">COUNTIF(Datos!$B$5:$B$31,"Factibilidad")/COUNTA(Datos!$A$5:$A$31)</f>
        <v>0.0740740740740741</v>
      </c>
    </row>
    <row r="20" customFormat="false" ht="15" hidden="false" customHeight="false" outlineLevel="0" collapsed="false">
      <c r="B20" s="3" t="s">
        <v>20</v>
      </c>
    </row>
    <row r="21" customFormat="false" ht="15" hidden="false" customHeight="false" outlineLevel="0" collapsed="false">
      <c r="B21" s="4" t="s">
        <v>21</v>
      </c>
      <c r="C21" s="4" t="s">
        <v>12</v>
      </c>
      <c r="D21" s="4" t="s">
        <v>13</v>
      </c>
    </row>
    <row r="22" customFormat="false" ht="15" hidden="false" customHeight="false" outlineLevel="0" collapsed="false">
      <c r="B22" s="5" t="s">
        <v>22</v>
      </c>
      <c r="C22" s="6" t="n">
        <f aca="false">COUNTIF(Datos!$C$5:$C$31,"Crítico")</f>
        <v>5</v>
      </c>
      <c r="D22" s="8" t="n">
        <f aca="false">COUNTIF(Datos!$C$5:$C$31,"Crítico")/COUNTA(Datos!$A$5:$A$31)</f>
        <v>0.185185185185185</v>
      </c>
    </row>
    <row r="23" customFormat="false" ht="15" hidden="false" customHeight="false" outlineLevel="0" collapsed="false">
      <c r="B23" s="5" t="s">
        <v>23</v>
      </c>
      <c r="C23" s="6" t="n">
        <f aca="false">COUNTIF(Datos!$C$5:$C$31,"Mayor")</f>
        <v>13</v>
      </c>
      <c r="D23" s="8" t="n">
        <f aca="false">COUNTIF(Datos!$C$5:$C$31,"Mayor")/COUNTA(Datos!$A$5:$A$31)</f>
        <v>0.481481481481481</v>
      </c>
    </row>
    <row r="24" customFormat="false" ht="15" hidden="false" customHeight="false" outlineLevel="0" collapsed="false">
      <c r="B24" s="5" t="s">
        <v>24</v>
      </c>
      <c r="C24" s="6" t="n">
        <f aca="false">COUNTIF(Datos!$C$5:$C$31,"Menor")</f>
        <v>9</v>
      </c>
      <c r="D24" s="8" t="n">
        <f aca="false">COUNTIF(Datos!$C$5:$C$31,"Menor")/COUNTA(Datos!$A$5:$A$31)</f>
        <v>0.333333333333333</v>
      </c>
    </row>
    <row r="25" customFormat="false" ht="15" hidden="false" customHeight="false" outlineLevel="0" collapsed="false">
      <c r="B25" s="5" t="s">
        <v>25</v>
      </c>
      <c r="C25" s="9" t="n">
        <f aca="false">COUNTIF(Datos!$C$5:$C$31,"Crítico")+COUNTIF(Datos!$C$5:$C$31,"Mayor")</f>
        <v>18</v>
      </c>
      <c r="D25" s="10" t="n">
        <f aca="false">(COUNTIF(Datos!$C$5:$C$31,"Crítico")+COUNTIF(Datos!$C$5:$C$31,"Mayor"))/COUNTA(Datos!$A$5:$A$31)</f>
        <v>0.666666666666667</v>
      </c>
    </row>
    <row r="27" customFormat="false" ht="15" hidden="false" customHeight="false" outlineLevel="0" collapsed="false">
      <c r="B27" s="3" t="s">
        <v>26</v>
      </c>
    </row>
    <row r="28" customFormat="false" ht="15" hidden="false" customHeight="false" outlineLevel="0" collapsed="false">
      <c r="B28" s="4" t="s">
        <v>27</v>
      </c>
      <c r="C28" s="4" t="s">
        <v>28</v>
      </c>
      <c r="D28" s="4" t="s">
        <v>29</v>
      </c>
      <c r="E28" s="4" t="s">
        <v>30</v>
      </c>
      <c r="F28" s="4" t="s">
        <v>31</v>
      </c>
    </row>
    <row r="29" customFormat="false" ht="15" hidden="false" customHeight="false" outlineLevel="0" collapsed="false">
      <c r="B29" s="5" t="s">
        <v>32</v>
      </c>
      <c r="C29" s="6" t="n">
        <f aca="false">Parametros!$C$8</f>
        <v>17</v>
      </c>
      <c r="D29" s="6" t="n">
        <f aca="false">COUNTIF(Datos!$D$5:$D$31,"Nieves")</f>
        <v>14</v>
      </c>
      <c r="E29" s="8" t="n">
        <f aca="false">COUNTIF(Datos!$D$5:$D$31,"Nieves")/COUNTA(Datos!$A$5:$A$31)</f>
        <v>0.518518518518519</v>
      </c>
      <c r="F29" s="8" t="n">
        <f aca="false">COUNTIF(Datos!$D$5:$D$31,"Nieves")/Parametros!$C$8</f>
        <v>0.823529411764706</v>
      </c>
    </row>
    <row r="30" customFormat="false" ht="15" hidden="false" customHeight="false" outlineLevel="0" collapsed="false">
      <c r="B30" s="5" t="s">
        <v>33</v>
      </c>
      <c r="C30" s="6" t="n">
        <f aca="false">Parametros!$C$7</f>
        <v>16</v>
      </c>
      <c r="D30" s="6" t="n">
        <f aca="false">COUNTIF(Datos!$D$5:$D$31,"Gutiérrez")</f>
        <v>13</v>
      </c>
      <c r="E30" s="8" t="n">
        <f aca="false">COUNTIF(Datos!$D$5:$D$31,"Gutiérrez")/COUNTA(Datos!$A$5:$A$31)</f>
        <v>0.481481481481481</v>
      </c>
      <c r="F30" s="8" t="n">
        <f aca="false">COUNTIF(Datos!$D$5:$D$31,"Gutiérrez")/Parametros!$C$7</f>
        <v>0.8125</v>
      </c>
    </row>
    <row r="31" customFormat="false" ht="15" hidden="false" customHeight="false" outlineLevel="0" collapsed="false">
      <c r="B31" s="5" t="s">
        <v>34</v>
      </c>
      <c r="C31" s="9" t="n">
        <f aca="false">Parametros!$C$7+Parametros!$C$8</f>
        <v>33</v>
      </c>
      <c r="D31" s="9" t="n">
        <f aca="false">COUNTA(Datos!$A$5:$A$31)</f>
        <v>27</v>
      </c>
      <c r="E31" s="10" t="n">
        <v>1</v>
      </c>
      <c r="F31" s="10" t="n">
        <f aca="false">COUNTA(Datos!$A$5:$A$31)/(Parametros!$C$7+Parametros!$C$8)</f>
        <v>0.818181818181818</v>
      </c>
    </row>
    <row r="32" customFormat="false" ht="15" hidden="false" customHeight="false" outlineLevel="0" collapsed="false">
      <c r="B32" s="5" t="s">
        <v>35</v>
      </c>
      <c r="C32" s="6" t="n">
        <f aca="false">Parametros!$C$7+Parametros!$C$8-COUNTA(Datos!$A$5:$A$31)</f>
        <v>6</v>
      </c>
      <c r="D32" s="6"/>
      <c r="E32" s="6"/>
      <c r="F32" s="6"/>
    </row>
    <row r="34" customFormat="false" ht="15" hidden="false" customHeight="false" outlineLevel="0" collapsed="false">
      <c r="B34" s="3" t="s">
        <v>36</v>
      </c>
    </row>
    <row r="35" customFormat="false" ht="15" hidden="false" customHeight="false" outlineLevel="0" collapsed="false">
      <c r="B35" s="4" t="s">
        <v>3</v>
      </c>
      <c r="C35" s="4" t="s">
        <v>4</v>
      </c>
      <c r="D35" s="4" t="s">
        <v>5</v>
      </c>
    </row>
    <row r="36" customFormat="false" ht="15" hidden="false" customHeight="false" outlineLevel="0" collapsed="false">
      <c r="B36" s="5" t="s">
        <v>37</v>
      </c>
      <c r="C36" s="11" t="n">
        <f aca="false">'M5 Esfuerzo'!$E$11</f>
        <v>20</v>
      </c>
      <c r="D36" s="11" t="s">
        <v>38</v>
      </c>
    </row>
    <row r="37" customFormat="false" ht="15" hidden="false" customHeight="false" outlineLevel="0" collapsed="false">
      <c r="B37" s="5" t="s">
        <v>39</v>
      </c>
      <c r="C37" s="7" t="n">
        <f aca="false">COUNTA(Datos!$A$5:$A$31)/'M5 Esfuerzo'!$E$11</f>
        <v>1.35</v>
      </c>
      <c r="D37" s="7" t="s">
        <v>40</v>
      </c>
    </row>
    <row r="38" customFormat="false" ht="15" hidden="false" customHeight="false" outlineLevel="0" collapsed="false">
      <c r="B38" s="5" t="s">
        <v>41</v>
      </c>
      <c r="C38" s="12" t="n">
        <f aca="false">'M5 Esfuerzo'!$E$11/COUNTA(Datos!$A$5:$A$31)</f>
        <v>0.740740740740741</v>
      </c>
      <c r="D38" s="1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2"/>
  </cols>
  <sheetData>
    <row r="1" customFormat="false" ht="16.15" hidden="false" customHeight="false" outlineLevel="0" collapsed="false">
      <c r="A1" s="13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4" t="s">
        <v>45</v>
      </c>
      <c r="B4" s="4" t="s">
        <v>46</v>
      </c>
      <c r="C4" s="4" t="s">
        <v>21</v>
      </c>
      <c r="D4" s="4" t="s">
        <v>47</v>
      </c>
      <c r="E4" s="4" t="s">
        <v>48</v>
      </c>
    </row>
    <row r="5" customFormat="false" ht="15" hidden="false" customHeight="false" outlineLevel="0" collapsed="false">
      <c r="A5" s="14" t="s">
        <v>49</v>
      </c>
      <c r="B5" s="15" t="s">
        <v>14</v>
      </c>
      <c r="C5" s="14" t="s">
        <v>23</v>
      </c>
      <c r="D5" s="14" t="s">
        <v>50</v>
      </c>
      <c r="E5" s="14" t="s">
        <v>51</v>
      </c>
    </row>
    <row r="6" customFormat="false" ht="15" hidden="false" customHeight="false" outlineLevel="0" collapsed="false">
      <c r="A6" s="14" t="s">
        <v>52</v>
      </c>
      <c r="B6" s="15" t="s">
        <v>14</v>
      </c>
      <c r="C6" s="14" t="s">
        <v>24</v>
      </c>
      <c r="D6" s="14" t="s">
        <v>50</v>
      </c>
      <c r="E6" s="14" t="s">
        <v>51</v>
      </c>
    </row>
    <row r="7" customFormat="false" ht="15" hidden="false" customHeight="false" outlineLevel="0" collapsed="false">
      <c r="A7" s="14" t="s">
        <v>53</v>
      </c>
      <c r="B7" s="15" t="s">
        <v>14</v>
      </c>
      <c r="C7" s="14" t="s">
        <v>23</v>
      </c>
      <c r="D7" s="14" t="s">
        <v>50</v>
      </c>
      <c r="E7" s="14" t="s">
        <v>51</v>
      </c>
    </row>
    <row r="8" customFormat="false" ht="15" hidden="false" customHeight="false" outlineLevel="0" collapsed="false">
      <c r="A8" s="14" t="s">
        <v>54</v>
      </c>
      <c r="B8" s="15" t="s">
        <v>14</v>
      </c>
      <c r="C8" s="14" t="s">
        <v>23</v>
      </c>
      <c r="D8" s="14" t="s">
        <v>50</v>
      </c>
      <c r="E8" s="14" t="s">
        <v>51</v>
      </c>
    </row>
    <row r="9" customFormat="false" ht="15" hidden="false" customHeight="false" outlineLevel="0" collapsed="false">
      <c r="A9" s="14" t="s">
        <v>55</v>
      </c>
      <c r="B9" s="15" t="s">
        <v>18</v>
      </c>
      <c r="C9" s="14" t="s">
        <v>24</v>
      </c>
      <c r="D9" s="14" t="s">
        <v>50</v>
      </c>
      <c r="E9" s="14" t="s">
        <v>56</v>
      </c>
    </row>
    <row r="10" customFormat="false" ht="15" hidden="false" customHeight="false" outlineLevel="0" collapsed="false">
      <c r="A10" s="14" t="s">
        <v>57</v>
      </c>
      <c r="B10" s="15" t="s">
        <v>14</v>
      </c>
      <c r="C10" s="14" t="s">
        <v>24</v>
      </c>
      <c r="D10" s="14" t="s">
        <v>50</v>
      </c>
      <c r="E10" s="14" t="s">
        <v>51</v>
      </c>
    </row>
    <row r="11" customFormat="false" ht="15" hidden="false" customHeight="false" outlineLevel="0" collapsed="false">
      <c r="A11" s="14" t="s">
        <v>58</v>
      </c>
      <c r="B11" s="15" t="s">
        <v>14</v>
      </c>
      <c r="C11" s="14" t="s">
        <v>22</v>
      </c>
      <c r="D11" s="14" t="s">
        <v>50</v>
      </c>
      <c r="E11" s="14" t="s">
        <v>59</v>
      </c>
    </row>
    <row r="12" customFormat="false" ht="15" hidden="false" customHeight="false" outlineLevel="0" collapsed="false">
      <c r="A12" s="14" t="s">
        <v>60</v>
      </c>
      <c r="B12" s="15" t="s">
        <v>14</v>
      </c>
      <c r="C12" s="14" t="s">
        <v>23</v>
      </c>
      <c r="D12" s="14" t="s">
        <v>50</v>
      </c>
      <c r="E12" s="14" t="s">
        <v>51</v>
      </c>
    </row>
    <row r="13" customFormat="false" ht="15" hidden="false" customHeight="false" outlineLevel="0" collapsed="false">
      <c r="A13" s="14" t="s">
        <v>61</v>
      </c>
      <c r="B13" s="15" t="s">
        <v>14</v>
      </c>
      <c r="C13" s="14" t="s">
        <v>23</v>
      </c>
      <c r="D13" s="14" t="s">
        <v>50</v>
      </c>
      <c r="E13" s="14" t="s">
        <v>51</v>
      </c>
    </row>
    <row r="14" customFormat="false" ht="15" hidden="false" customHeight="false" outlineLevel="0" collapsed="false">
      <c r="A14" s="14" t="s">
        <v>62</v>
      </c>
      <c r="B14" s="15" t="s">
        <v>14</v>
      </c>
      <c r="C14" s="14" t="s">
        <v>23</v>
      </c>
      <c r="D14" s="14" t="s">
        <v>50</v>
      </c>
      <c r="E14" s="14" t="s">
        <v>51</v>
      </c>
    </row>
    <row r="15" customFormat="false" ht="15" hidden="false" customHeight="false" outlineLevel="0" collapsed="false">
      <c r="A15" s="14" t="s">
        <v>63</v>
      </c>
      <c r="B15" s="15" t="s">
        <v>14</v>
      </c>
      <c r="C15" s="14" t="s">
        <v>22</v>
      </c>
      <c r="D15" s="14" t="s">
        <v>50</v>
      </c>
      <c r="E15" s="14" t="s">
        <v>51</v>
      </c>
    </row>
    <row r="16" customFormat="false" ht="15" hidden="false" customHeight="false" outlineLevel="0" collapsed="false">
      <c r="A16" s="14" t="s">
        <v>64</v>
      </c>
      <c r="B16" s="15" t="s">
        <v>14</v>
      </c>
      <c r="C16" s="14" t="s">
        <v>24</v>
      </c>
      <c r="D16" s="14" t="s">
        <v>50</v>
      </c>
      <c r="E16" s="14" t="s">
        <v>56</v>
      </c>
    </row>
    <row r="17" customFormat="false" ht="15" hidden="false" customHeight="false" outlineLevel="0" collapsed="false">
      <c r="A17" s="14" t="s">
        <v>65</v>
      </c>
      <c r="B17" s="15" t="s">
        <v>15</v>
      </c>
      <c r="C17" s="14" t="s">
        <v>24</v>
      </c>
      <c r="D17" s="14" t="s">
        <v>50</v>
      </c>
      <c r="E17" s="14" t="s">
        <v>51</v>
      </c>
    </row>
    <row r="18" customFormat="false" ht="15" hidden="false" customHeight="false" outlineLevel="0" collapsed="false">
      <c r="A18" s="14" t="s">
        <v>66</v>
      </c>
      <c r="B18" s="15" t="s">
        <v>17</v>
      </c>
      <c r="C18" s="14" t="s">
        <v>23</v>
      </c>
      <c r="D18" s="14" t="s">
        <v>67</v>
      </c>
      <c r="E18" s="14" t="s">
        <v>51</v>
      </c>
    </row>
    <row r="19" customFormat="false" ht="15" hidden="false" customHeight="false" outlineLevel="0" collapsed="false">
      <c r="A19" s="14" t="s">
        <v>68</v>
      </c>
      <c r="B19" s="15" t="s">
        <v>15</v>
      </c>
      <c r="C19" s="14" t="s">
        <v>23</v>
      </c>
      <c r="D19" s="14" t="s">
        <v>67</v>
      </c>
      <c r="E19" s="14" t="s">
        <v>51</v>
      </c>
    </row>
    <row r="20" customFormat="false" ht="15" hidden="false" customHeight="false" outlineLevel="0" collapsed="false">
      <c r="A20" s="14" t="s">
        <v>69</v>
      </c>
      <c r="B20" s="15" t="s">
        <v>15</v>
      </c>
      <c r="C20" s="14" t="s">
        <v>23</v>
      </c>
      <c r="D20" s="14" t="s">
        <v>67</v>
      </c>
      <c r="E20" s="14" t="s">
        <v>51</v>
      </c>
    </row>
    <row r="21" customFormat="false" ht="15" hidden="false" customHeight="false" outlineLevel="0" collapsed="false">
      <c r="A21" s="14" t="s">
        <v>70</v>
      </c>
      <c r="B21" s="15" t="s">
        <v>15</v>
      </c>
      <c r="C21" s="14" t="s">
        <v>24</v>
      </c>
      <c r="D21" s="14" t="s">
        <v>67</v>
      </c>
      <c r="E21" s="14" t="s">
        <v>51</v>
      </c>
    </row>
    <row r="22" customFormat="false" ht="15" hidden="false" customHeight="false" outlineLevel="0" collapsed="false">
      <c r="A22" s="14" t="s">
        <v>71</v>
      </c>
      <c r="B22" s="15" t="s">
        <v>14</v>
      </c>
      <c r="C22" s="14" t="s">
        <v>22</v>
      </c>
      <c r="D22" s="14" t="s">
        <v>67</v>
      </c>
      <c r="E22" s="14" t="s">
        <v>72</v>
      </c>
    </row>
    <row r="23" customFormat="false" ht="15" hidden="false" customHeight="false" outlineLevel="0" collapsed="false">
      <c r="A23" s="14" t="s">
        <v>73</v>
      </c>
      <c r="B23" s="15" t="s">
        <v>17</v>
      </c>
      <c r="C23" s="14" t="s">
        <v>23</v>
      </c>
      <c r="D23" s="14" t="s">
        <v>67</v>
      </c>
      <c r="E23" s="14" t="s">
        <v>51</v>
      </c>
    </row>
    <row r="24" customFormat="false" ht="15" hidden="false" customHeight="false" outlineLevel="0" collapsed="false">
      <c r="A24" s="14" t="s">
        <v>74</v>
      </c>
      <c r="B24" s="15" t="s">
        <v>17</v>
      </c>
      <c r="C24" s="14" t="s">
        <v>23</v>
      </c>
      <c r="D24" s="14" t="s">
        <v>67</v>
      </c>
      <c r="E24" s="14" t="s">
        <v>72</v>
      </c>
    </row>
    <row r="25" customFormat="false" ht="15" hidden="false" customHeight="false" outlineLevel="0" collapsed="false">
      <c r="A25" s="14" t="s">
        <v>75</v>
      </c>
      <c r="B25" s="15" t="s">
        <v>18</v>
      </c>
      <c r="C25" s="14" t="s">
        <v>22</v>
      </c>
      <c r="D25" s="14" t="s">
        <v>67</v>
      </c>
      <c r="E25" s="14" t="s">
        <v>76</v>
      </c>
    </row>
    <row r="26" customFormat="false" ht="15" hidden="false" customHeight="false" outlineLevel="0" collapsed="false">
      <c r="A26" s="14" t="s">
        <v>77</v>
      </c>
      <c r="B26" s="15" t="s">
        <v>16</v>
      </c>
      <c r="C26" s="14" t="s">
        <v>22</v>
      </c>
      <c r="D26" s="14" t="s">
        <v>67</v>
      </c>
      <c r="E26" s="14" t="s">
        <v>76</v>
      </c>
    </row>
    <row r="27" customFormat="false" ht="15" hidden="false" customHeight="false" outlineLevel="0" collapsed="false">
      <c r="A27" s="14" t="s">
        <v>78</v>
      </c>
      <c r="B27" s="15" t="s">
        <v>16</v>
      </c>
      <c r="C27" s="14" t="s">
        <v>23</v>
      </c>
      <c r="D27" s="14" t="s">
        <v>67</v>
      </c>
      <c r="E27" s="14" t="s">
        <v>51</v>
      </c>
    </row>
    <row r="28" customFormat="false" ht="15" hidden="false" customHeight="false" outlineLevel="0" collapsed="false">
      <c r="A28" s="14" t="s">
        <v>79</v>
      </c>
      <c r="B28" s="15" t="s">
        <v>19</v>
      </c>
      <c r="C28" s="14" t="s">
        <v>23</v>
      </c>
      <c r="D28" s="14" t="s">
        <v>67</v>
      </c>
      <c r="E28" s="14" t="s">
        <v>51</v>
      </c>
    </row>
    <row r="29" customFormat="false" ht="15" hidden="false" customHeight="false" outlineLevel="0" collapsed="false">
      <c r="A29" s="14" t="s">
        <v>80</v>
      </c>
      <c r="B29" s="15" t="s">
        <v>19</v>
      </c>
      <c r="C29" s="14" t="s">
        <v>24</v>
      </c>
      <c r="D29" s="14" t="s">
        <v>67</v>
      </c>
      <c r="E29" s="14" t="s">
        <v>56</v>
      </c>
    </row>
    <row r="30" customFormat="false" ht="15" hidden="false" customHeight="false" outlineLevel="0" collapsed="false">
      <c r="A30" s="14" t="s">
        <v>81</v>
      </c>
      <c r="B30" s="15" t="s">
        <v>16</v>
      </c>
      <c r="C30" s="14" t="s">
        <v>24</v>
      </c>
      <c r="D30" s="14" t="s">
        <v>67</v>
      </c>
      <c r="E30" s="14" t="s">
        <v>56</v>
      </c>
    </row>
    <row r="31" customFormat="false" ht="15" hidden="false" customHeight="false" outlineLevel="0" collapsed="false">
      <c r="A31" s="14" t="s">
        <v>82</v>
      </c>
      <c r="B31" s="15" t="s">
        <v>16</v>
      </c>
      <c r="C31" s="14" t="s">
        <v>24</v>
      </c>
      <c r="D31" s="14" t="s">
        <v>67</v>
      </c>
      <c r="E31" s="1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40"/>
  </cols>
  <sheetData>
    <row r="2" customFormat="false" ht="16.15" hidden="false" customHeight="false" outlineLevel="0" collapsed="false">
      <c r="B2" s="13" t="s">
        <v>83</v>
      </c>
    </row>
    <row r="3" customFormat="false" ht="15" hidden="false" customHeight="false" outlineLevel="0" collapsed="false">
      <c r="B3" s="2" t="s">
        <v>84</v>
      </c>
    </row>
    <row r="5" customFormat="false" ht="15" hidden="false" customHeight="false" outlineLevel="0" collapsed="false">
      <c r="B5" s="4" t="s">
        <v>85</v>
      </c>
      <c r="C5" s="4" t="s">
        <v>4</v>
      </c>
      <c r="D5" s="4" t="s">
        <v>86</v>
      </c>
    </row>
    <row r="6" customFormat="false" ht="15" hidden="false" customHeight="false" outlineLevel="0" collapsed="false">
      <c r="B6" s="16" t="s">
        <v>87</v>
      </c>
      <c r="C6" s="17" t="n">
        <v>52</v>
      </c>
      <c r="D6" s="18" t="s">
        <v>88</v>
      </c>
    </row>
    <row r="7" customFormat="false" ht="15" hidden="false" customHeight="false" outlineLevel="0" collapsed="false">
      <c r="B7" s="16" t="s">
        <v>89</v>
      </c>
      <c r="C7" s="17" t="n">
        <v>16</v>
      </c>
      <c r="D7" s="18" t="s">
        <v>90</v>
      </c>
    </row>
    <row r="8" customFormat="false" ht="15" hidden="false" customHeight="false" outlineLevel="0" collapsed="false">
      <c r="B8" s="16" t="s">
        <v>91</v>
      </c>
      <c r="C8" s="17" t="n">
        <v>17</v>
      </c>
      <c r="D8" s="18" t="s">
        <v>90</v>
      </c>
    </row>
    <row r="9" customFormat="false" ht="15" hidden="false" customHeight="false" outlineLevel="0" collapsed="false">
      <c r="B9" s="16" t="s">
        <v>92</v>
      </c>
      <c r="C9" s="17" t="n">
        <v>90</v>
      </c>
      <c r="D9" s="18" t="s">
        <v>93</v>
      </c>
    </row>
    <row r="10" customFormat="false" ht="15" hidden="false" customHeight="false" outlineLevel="0" collapsed="false">
      <c r="B10" s="16" t="s">
        <v>94</v>
      </c>
      <c r="C10" s="17" t="n">
        <v>2</v>
      </c>
      <c r="D10" s="18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</cols>
  <sheetData>
    <row r="2" customFormat="false" ht="16.15" hidden="false" customHeight="false" outlineLevel="0" collapsed="false">
      <c r="B2" s="13" t="s">
        <v>96</v>
      </c>
    </row>
    <row r="4" customFormat="false" ht="15" hidden="false" customHeight="false" outlineLevel="0" collapsed="false">
      <c r="B4" s="4" t="s">
        <v>97</v>
      </c>
      <c r="C4" s="4" t="s">
        <v>98</v>
      </c>
      <c r="D4" s="4" t="s">
        <v>99</v>
      </c>
      <c r="E4" s="4" t="s">
        <v>100</v>
      </c>
    </row>
    <row r="5" customFormat="false" ht="15" hidden="false" customHeight="false" outlineLevel="0" collapsed="false">
      <c r="B5" s="16" t="s">
        <v>101</v>
      </c>
      <c r="C5" s="19" t="n">
        <v>0.25</v>
      </c>
      <c r="D5" s="19" t="n">
        <v>2</v>
      </c>
      <c r="E5" s="20" t="n">
        <f aca="false">C5*D5</f>
        <v>0.5</v>
      </c>
    </row>
    <row r="6" customFormat="false" ht="15" hidden="false" customHeight="false" outlineLevel="0" collapsed="false">
      <c r="B6" s="16" t="s">
        <v>102</v>
      </c>
      <c r="C6" s="19" t="n">
        <v>4</v>
      </c>
      <c r="D6" s="19" t="n">
        <v>2</v>
      </c>
      <c r="E6" s="20" t="n">
        <f aca="false">C6*D6</f>
        <v>8</v>
      </c>
    </row>
    <row r="7" customFormat="false" ht="15" hidden="false" customHeight="false" outlineLevel="0" collapsed="false">
      <c r="B7" s="16" t="s">
        <v>103</v>
      </c>
      <c r="C7" s="19" t="n">
        <v>1.5</v>
      </c>
      <c r="D7" s="19" t="n">
        <v>2</v>
      </c>
      <c r="E7" s="20" t="n">
        <f aca="false">C7*D7</f>
        <v>3</v>
      </c>
    </row>
    <row r="8" customFormat="false" ht="15" hidden="false" customHeight="false" outlineLevel="0" collapsed="false">
      <c r="B8" s="16" t="s">
        <v>104</v>
      </c>
      <c r="C8" s="19" t="n">
        <v>1.5</v>
      </c>
      <c r="D8" s="19" t="n">
        <v>2</v>
      </c>
      <c r="E8" s="20" t="n">
        <f aca="false">C8*D8</f>
        <v>3</v>
      </c>
    </row>
    <row r="9" customFormat="false" ht="15" hidden="false" customHeight="false" outlineLevel="0" collapsed="false">
      <c r="B9" s="16" t="s">
        <v>105</v>
      </c>
      <c r="C9" s="19" t="n">
        <v>4.5</v>
      </c>
      <c r="D9" s="19" t="n">
        <v>1</v>
      </c>
      <c r="E9" s="20" t="n">
        <f aca="false">C9*D9</f>
        <v>4.5</v>
      </c>
    </row>
    <row r="10" customFormat="false" ht="15" hidden="false" customHeight="false" outlineLevel="0" collapsed="false">
      <c r="B10" s="16" t="s">
        <v>106</v>
      </c>
      <c r="C10" s="19" t="n">
        <v>0.5</v>
      </c>
      <c r="D10" s="19" t="n">
        <v>2</v>
      </c>
      <c r="E10" s="20" t="n">
        <f aca="false">C10*D10</f>
        <v>1</v>
      </c>
    </row>
    <row r="11" customFormat="false" ht="15" hidden="false" customHeight="false" outlineLevel="0" collapsed="false">
      <c r="B11" s="21" t="s">
        <v>34</v>
      </c>
      <c r="C11" s="22"/>
      <c r="D11" s="22"/>
      <c r="E11" s="23" t="n">
        <f aca="false">SUM(E5:E10)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2026-08-09T06:15:54Z</dcterms:created>
  <dc:creator>openpyxl</dc:creator>
  <dc:description/>
  <dc:language>en-US</dc:language>
  <cp:lastModifiedBy/>
  <dcterms:modified xsi:type="dcterms:W3CDTF">2026-08-09T06:15:57Z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